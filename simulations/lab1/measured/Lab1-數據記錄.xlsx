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andy610425/project/notecraft/simulations/lab1/measured/"/>
    </mc:Choice>
  </mc:AlternateContent>
  <xr:revisionPtr revIDLastSave="0" documentId="13_ncr:1_{7982DEE4-90F6-BE42-84D4-968AB1DC673A}" xr6:coauthVersionLast="47" xr6:coauthVersionMax="47" xr10:uidLastSave="{00000000-0000-0000-0000-000000000000}"/>
  <bookViews>
    <workbookView xWindow="20" yWindow="660" windowWidth="30240" windowHeight="18980" tabRatio="500" activeTab="1" xr2:uid="{00000000-000D-0000-FFFF-FFFF00000000}"/>
  </bookViews>
  <sheets>
    <sheet name="說明" sheetId="1" r:id="rId1"/>
    <sheet name="實驗一 順偏" sheetId="2" r:id="rId2"/>
    <sheet name="實驗二 逆偏" sheetId="3" r:id="rId3"/>
    <sheet name="實驗三 半波" sheetId="4" r:id="rId4"/>
    <sheet name="實驗四 橋式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" i="3" l="1"/>
  <c r="C8" i="3" s="1"/>
  <c r="J9" i="3"/>
  <c r="C9" i="3" s="1"/>
  <c r="J10" i="3"/>
  <c r="C10" i="3" s="1"/>
  <c r="J11" i="3"/>
  <c r="C11" i="3" s="1"/>
  <c r="J12" i="3"/>
  <c r="C12" i="3" s="1"/>
  <c r="J13" i="3"/>
  <c r="C13" i="3" s="1"/>
  <c r="J14" i="3"/>
  <c r="C14" i="3" s="1"/>
  <c r="J15" i="3"/>
  <c r="C15" i="3" s="1"/>
  <c r="J16" i="3"/>
  <c r="C16" i="3" s="1"/>
  <c r="J17" i="3"/>
  <c r="C17" i="3" s="1"/>
  <c r="J18" i="3"/>
  <c r="C18" i="3" s="1"/>
  <c r="J19" i="3"/>
  <c r="C19" i="3" s="1"/>
  <c r="J20" i="3"/>
  <c r="C20" i="3" s="1"/>
  <c r="J21" i="3"/>
  <c r="C21" i="3" s="1"/>
  <c r="J22" i="3"/>
  <c r="C22" i="3" s="1"/>
  <c r="J23" i="3"/>
  <c r="C23" i="3" s="1"/>
  <c r="J24" i="3"/>
  <c r="C24" i="3" s="1"/>
  <c r="J25" i="3"/>
  <c r="C25" i="3" s="1"/>
  <c r="J26" i="3"/>
  <c r="C26" i="3" s="1"/>
  <c r="J7" i="3"/>
  <c r="C7" i="3" s="1"/>
  <c r="K8" i="2"/>
  <c r="K9" i="2"/>
  <c r="C9" i="2" s="1"/>
  <c r="K10" i="2"/>
  <c r="C10" i="2" s="1"/>
  <c r="K11" i="2"/>
  <c r="C11" i="2" s="1"/>
  <c r="K12" i="2"/>
  <c r="C12" i="2" s="1"/>
  <c r="K13" i="2"/>
  <c r="C13" i="2" s="1"/>
  <c r="K14" i="2"/>
  <c r="C14" i="2" s="1"/>
  <c r="F14" i="2" s="1"/>
  <c r="K15" i="2"/>
  <c r="C15" i="2" s="1"/>
  <c r="K16" i="2"/>
  <c r="K17" i="2"/>
  <c r="K18" i="2"/>
  <c r="C18" i="2" s="1"/>
  <c r="K19" i="2"/>
  <c r="C19" i="2" s="1"/>
  <c r="K20" i="2"/>
  <c r="C20" i="2" s="1"/>
  <c r="K21" i="2"/>
  <c r="C21" i="2" s="1"/>
  <c r="K22" i="2"/>
  <c r="C22" i="2" s="1"/>
  <c r="K23" i="2"/>
  <c r="C23" i="2" s="1"/>
  <c r="K24" i="2"/>
  <c r="K25" i="2"/>
  <c r="K26" i="2"/>
  <c r="C26" i="2" s="1"/>
  <c r="K7" i="2"/>
  <c r="C17" i="2"/>
  <c r="C25" i="2"/>
  <c r="J7" i="2"/>
  <c r="C16" i="2"/>
  <c r="C24" i="2"/>
  <c r="C8" i="2"/>
  <c r="C16" i="5"/>
  <c r="F16" i="5" s="1"/>
  <c r="C15" i="5"/>
  <c r="F15" i="5" s="1"/>
  <c r="F13" i="5"/>
  <c r="F12" i="5"/>
  <c r="F11" i="5"/>
  <c r="F10" i="5"/>
  <c r="F9" i="5"/>
  <c r="F8" i="5"/>
  <c r="F7" i="5"/>
  <c r="F6" i="5"/>
  <c r="F5" i="5"/>
  <c r="F16" i="4"/>
  <c r="C16" i="4"/>
  <c r="F15" i="4"/>
  <c r="C15" i="4"/>
  <c r="F13" i="4"/>
  <c r="F12" i="4"/>
  <c r="F11" i="4"/>
  <c r="F10" i="4"/>
  <c r="F9" i="4"/>
  <c r="F8" i="4"/>
  <c r="F7" i="4"/>
  <c r="F6" i="4"/>
  <c r="F5" i="4"/>
  <c r="H26" i="3"/>
  <c r="G26" i="3"/>
  <c r="D26" i="3"/>
  <c r="H25" i="3"/>
  <c r="G25" i="3"/>
  <c r="D25" i="3"/>
  <c r="H24" i="3"/>
  <c r="G24" i="3"/>
  <c r="D24" i="3"/>
  <c r="H23" i="3"/>
  <c r="G23" i="3"/>
  <c r="D23" i="3"/>
  <c r="H22" i="3"/>
  <c r="G22" i="3"/>
  <c r="D22" i="3"/>
  <c r="H21" i="3"/>
  <c r="G21" i="3"/>
  <c r="D21" i="3"/>
  <c r="H20" i="3"/>
  <c r="G20" i="3"/>
  <c r="D20" i="3"/>
  <c r="H19" i="3"/>
  <c r="G19" i="3"/>
  <c r="D19" i="3"/>
  <c r="H18" i="3"/>
  <c r="G18" i="3"/>
  <c r="D18" i="3"/>
  <c r="H17" i="3"/>
  <c r="G17" i="3"/>
  <c r="D17" i="3"/>
  <c r="H16" i="3"/>
  <c r="G16" i="3"/>
  <c r="D16" i="3"/>
  <c r="H15" i="3"/>
  <c r="G15" i="3"/>
  <c r="D15" i="3"/>
  <c r="H14" i="3"/>
  <c r="G14" i="3"/>
  <c r="D14" i="3"/>
  <c r="H13" i="3"/>
  <c r="G13" i="3"/>
  <c r="D13" i="3"/>
  <c r="H12" i="3"/>
  <c r="G12" i="3"/>
  <c r="D12" i="3"/>
  <c r="H11" i="3"/>
  <c r="G11" i="3"/>
  <c r="D11" i="3"/>
  <c r="H10" i="3"/>
  <c r="G10" i="3"/>
  <c r="D10" i="3"/>
  <c r="H9" i="3"/>
  <c r="G9" i="3"/>
  <c r="D9" i="3"/>
  <c r="H8" i="3"/>
  <c r="G8" i="3"/>
  <c r="D8" i="3"/>
  <c r="H7" i="3"/>
  <c r="G7" i="3"/>
  <c r="D7" i="3"/>
  <c r="I26" i="2"/>
  <c r="E26" i="2"/>
  <c r="D26" i="2"/>
  <c r="I25" i="2"/>
  <c r="E25" i="2"/>
  <c r="D25" i="2"/>
  <c r="I24" i="2"/>
  <c r="E24" i="2"/>
  <c r="F24" i="2" s="1"/>
  <c r="D24" i="2"/>
  <c r="I23" i="2"/>
  <c r="E23" i="2"/>
  <c r="D23" i="2"/>
  <c r="I22" i="2"/>
  <c r="E22" i="2"/>
  <c r="D22" i="2"/>
  <c r="I21" i="2"/>
  <c r="E21" i="2"/>
  <c r="D21" i="2"/>
  <c r="I20" i="2"/>
  <c r="E20" i="2"/>
  <c r="D20" i="2"/>
  <c r="I19" i="2"/>
  <c r="E19" i="2"/>
  <c r="D19" i="2"/>
  <c r="I18" i="2"/>
  <c r="E18" i="2"/>
  <c r="D18" i="2"/>
  <c r="I17" i="2"/>
  <c r="E17" i="2"/>
  <c r="D17" i="2"/>
  <c r="I16" i="2"/>
  <c r="E16" i="2"/>
  <c r="D16" i="2"/>
  <c r="I15" i="2"/>
  <c r="E15" i="2"/>
  <c r="D15" i="2"/>
  <c r="I14" i="2"/>
  <c r="E14" i="2"/>
  <c r="D14" i="2"/>
  <c r="I13" i="2"/>
  <c r="E13" i="2"/>
  <c r="D13" i="2"/>
  <c r="I12" i="2"/>
  <c r="E12" i="2"/>
  <c r="D12" i="2"/>
  <c r="I11" i="2"/>
  <c r="E11" i="2"/>
  <c r="D11" i="2"/>
  <c r="I10" i="2"/>
  <c r="E10" i="2"/>
  <c r="D10" i="2"/>
  <c r="I9" i="2"/>
  <c r="E9" i="2"/>
  <c r="D9" i="2"/>
  <c r="I8" i="2"/>
  <c r="E8" i="2"/>
  <c r="D8" i="2"/>
  <c r="I7" i="2"/>
  <c r="E7" i="2"/>
  <c r="D7" i="2"/>
  <c r="F16" i="2" l="1"/>
  <c r="F22" i="2"/>
  <c r="C7" i="2"/>
  <c r="F19" i="2"/>
  <c r="F17" i="2"/>
  <c r="F25" i="2"/>
  <c r="F8" i="2"/>
  <c r="F11" i="2"/>
  <c r="F9" i="2"/>
  <c r="F21" i="2"/>
  <c r="F12" i="2"/>
  <c r="F20" i="2"/>
  <c r="F10" i="2"/>
  <c r="F15" i="2"/>
  <c r="F23" i="2"/>
  <c r="F13" i="2"/>
  <c r="F18" i="2"/>
  <c r="F26" i="2"/>
  <c r="F7" i="2"/>
</calcChain>
</file>

<file path=xl/sharedStrings.xml><?xml version="1.0" encoding="utf-8"?>
<sst xmlns="http://schemas.openxmlformats.org/spreadsheetml/2006/main" count="245" uniqueCount="166">
  <si>
    <r>
      <rPr>
        <sz val="9"/>
        <color rgb="FF808080"/>
        <rFont val="Linux Libertine G"/>
        <family val="2"/>
      </rPr>
      <t xml:space="preserve">電子學實作系列第 </t>
    </r>
    <r>
      <rPr>
        <sz val="9"/>
        <color rgb="FF808080"/>
        <rFont val="Arial"/>
        <family val="2"/>
      </rPr>
      <t xml:space="preserve">3 </t>
    </r>
    <r>
      <rPr>
        <sz val="9"/>
        <color rgb="FF808080"/>
        <rFont val="Linux Libertine G"/>
        <family val="2"/>
      </rPr>
      <t>週．</t>
    </r>
    <r>
      <rPr>
        <sz val="9"/>
        <color rgb="FF808080"/>
        <rFont val="Arial"/>
        <family val="2"/>
      </rPr>
      <t xml:space="preserve">App_Lab1.pdf </t>
    </r>
    <r>
      <rPr>
        <sz val="9"/>
        <color rgb="FF808080"/>
        <rFont val="Linux Libertine G"/>
        <family val="2"/>
      </rPr>
      <t>四個實驗．當天用筆電直接填</t>
    </r>
  </si>
  <si>
    <t>怎麼用</t>
  </si>
  <si>
    <t>1</t>
  </si>
  <si>
    <r>
      <rPr>
        <sz val="11"/>
        <rFont val="Linux Libertine G"/>
        <family val="2"/>
      </rPr>
      <t>每個實驗一張工作表，只要填</t>
    </r>
    <r>
      <rPr>
        <sz val="11"/>
        <rFont val="Arial"/>
        <family val="2"/>
      </rPr>
      <t>**</t>
    </r>
    <r>
      <rPr>
        <sz val="11"/>
        <rFont val="Linux Libertine G"/>
        <family val="2"/>
      </rPr>
      <t>黃底</t>
    </r>
    <r>
      <rPr>
        <sz val="11"/>
        <rFont val="Arial"/>
        <family val="2"/>
      </rPr>
      <t>**</t>
    </r>
    <r>
      <rPr>
        <sz val="11"/>
        <rFont val="Linux Libertine G"/>
        <family val="2"/>
      </rPr>
      <t>的格子，其他欄位都是公式或預報值，不要覆蓋。</t>
    </r>
  </si>
  <si>
    <t>2</t>
  </si>
  <si>
    <t>填一列，右邊的計算欄與下面的圖就會跟著更新；不必等全部填完才看得到對照。</t>
  </si>
  <si>
    <t>3</t>
  </si>
  <si>
    <r>
      <rPr>
        <sz val="11"/>
        <rFont val="Linux Libertine G"/>
        <family val="2"/>
      </rPr>
      <t xml:space="preserve">藍色字是寫死的輸入：講義規格或 </t>
    </r>
    <r>
      <rPr>
        <sz val="11"/>
        <rFont val="Arial"/>
        <family val="2"/>
      </rPr>
      <t xml:space="preserve">LTspice </t>
    </r>
    <r>
      <rPr>
        <sz val="11"/>
        <rFont val="Linux Libertine G"/>
        <family val="2"/>
      </rPr>
      <t>模擬結果。黑色字是公式。</t>
    </r>
  </si>
  <si>
    <t>4</t>
  </si>
  <si>
    <t>每張工作表下方都有圖，橫軸縱軸已經設好，實測與預報畫在同一張上直接對照。</t>
  </si>
  <si>
    <t>5</t>
  </si>
  <si>
    <t>每張工作表的資料區下方有「當天拍照檢查表」：示波器畫面、麵包板照片、上傳登記，離開實驗室前逐項打勾。</t>
  </si>
  <si>
    <t>6</t>
  </si>
  <si>
    <r>
      <rPr>
        <sz val="11"/>
        <rFont val="Linux Libertine G"/>
        <family val="2"/>
      </rPr>
      <t xml:space="preserve">當天上傳 </t>
    </r>
    <r>
      <rPr>
        <sz val="11"/>
        <rFont val="Arial"/>
        <family val="2"/>
      </rPr>
      <t xml:space="preserve">E3 </t>
    </r>
    <r>
      <rPr>
        <sz val="11"/>
        <rFont val="Linux Libertine G"/>
        <family val="2"/>
      </rPr>
      <t xml:space="preserve">之前先存一份 </t>
    </r>
    <r>
      <rPr>
        <sz val="11"/>
        <rFont val="Arial"/>
        <family val="2"/>
      </rPr>
      <t>xlsx</t>
    </r>
    <r>
      <rPr>
        <sz val="11"/>
        <rFont val="Linux Libertine G"/>
        <family val="2"/>
      </rPr>
      <t xml:space="preserve">；回家要跑 </t>
    </r>
    <r>
      <rPr>
        <sz val="11"/>
        <rFont val="Arial"/>
        <family val="2"/>
      </rPr>
      <t xml:space="preserve">plot_measured.py </t>
    </r>
    <r>
      <rPr>
        <sz val="11"/>
        <rFont val="Linux Libertine G"/>
        <family val="2"/>
      </rPr>
      <t>的話，把實驗一、二的</t>
    </r>
  </si>
  <si>
    <r>
      <rPr>
        <sz val="11"/>
        <rFont val="Linux Libertine G"/>
        <family val="2"/>
      </rPr>
      <t xml:space="preserve">　　前三欄另存成 </t>
    </r>
    <r>
      <rPr>
        <sz val="11"/>
        <rFont val="Arial"/>
        <family val="2"/>
      </rPr>
      <t>measured/lab1-exp1-forward.csv</t>
    </r>
    <r>
      <rPr>
        <sz val="11"/>
        <rFont val="Linux Libertine G"/>
        <family val="2"/>
      </rPr>
      <t>、</t>
    </r>
    <r>
      <rPr>
        <sz val="11"/>
        <rFont val="Arial"/>
        <family val="2"/>
      </rPr>
      <t>lab1-exp2-reverse.csv</t>
    </r>
    <r>
      <rPr>
        <sz val="11"/>
        <rFont val="Linux Libertine G"/>
        <family val="2"/>
      </rPr>
      <t>（逗號分隔）。</t>
    </r>
  </si>
  <si>
    <t>填寫範例（實驗一）</t>
  </si>
  <si>
    <t>Vs (V)</t>
  </si>
  <si>
    <r>
      <rPr>
        <b/>
        <sz val="11"/>
        <rFont val="Linux Libertine G"/>
        <family val="2"/>
      </rPr>
      <t xml:space="preserve">實測 </t>
    </r>
    <r>
      <rPr>
        <b/>
        <sz val="11"/>
        <rFont val="Arial"/>
        <family val="2"/>
      </rPr>
      <t>V_D (V)</t>
    </r>
  </si>
  <si>
    <r>
      <rPr>
        <b/>
        <sz val="11"/>
        <rFont val="Linux Libertine G"/>
        <family val="2"/>
      </rPr>
      <t xml:space="preserve">實測 </t>
    </r>
    <r>
      <rPr>
        <b/>
        <sz val="11"/>
        <rFont val="Arial"/>
        <family val="2"/>
      </rPr>
      <t>I (mA)</t>
    </r>
  </si>
  <si>
    <t>→ V_R (V)</t>
  </si>
  <si>
    <r>
      <rPr>
        <b/>
        <sz val="11"/>
        <rFont val="Arial"/>
        <family val="2"/>
      </rPr>
      <t xml:space="preserve">→ I </t>
    </r>
    <r>
      <rPr>
        <b/>
        <sz val="11"/>
        <rFont val="Linux Libertine G"/>
        <family val="2"/>
      </rPr>
      <t xml:space="preserve">計算 </t>
    </r>
    <r>
      <rPr>
        <b/>
        <sz val="11"/>
        <rFont val="Arial"/>
        <family val="2"/>
      </rPr>
      <t>(mA)</t>
    </r>
  </si>
  <si>
    <r>
      <rPr>
        <b/>
        <sz val="11"/>
        <rFont val="Linux Libertine G"/>
        <family val="2"/>
      </rPr>
      <t xml:space="preserve">→ 差異 </t>
    </r>
    <r>
      <rPr>
        <b/>
        <sz val="11"/>
        <rFont val="Arial"/>
        <family val="2"/>
      </rPr>
      <t>(%)</t>
    </r>
  </si>
  <si>
    <r>
      <rPr>
        <sz val="9"/>
        <color rgb="FF808080"/>
        <rFont val="Linux Libertine G"/>
        <family val="2"/>
      </rPr>
      <t xml:space="preserve">↑ 這一列只是示範格式（電表讀 </t>
    </r>
    <r>
      <rPr>
        <sz val="9"/>
        <color rgb="FF808080"/>
        <rFont val="Arial"/>
        <family val="2"/>
      </rPr>
      <t>0.552 V</t>
    </r>
    <r>
      <rPr>
        <sz val="9"/>
        <color rgb="FF808080"/>
        <rFont val="Linux Libertine G"/>
        <family val="2"/>
      </rPr>
      <t>／</t>
    </r>
    <r>
      <rPr>
        <sz val="9"/>
        <color rgb="FF808080"/>
        <rFont val="Arial"/>
        <family val="2"/>
      </rPr>
      <t xml:space="preserve">0.05 mA </t>
    </r>
    <r>
      <rPr>
        <sz val="9"/>
        <color rgb="FF808080"/>
        <rFont val="Linux Libertine G"/>
        <family val="2"/>
      </rPr>
      <t>就這樣填），正式表裡沒有這一列。</t>
    </r>
  </si>
  <si>
    <t>資料來源</t>
  </si>
  <si>
    <r>
      <rPr>
        <sz val="9"/>
        <color rgb="FF808080"/>
        <rFont val="Linux Libertine G"/>
        <family val="2"/>
      </rPr>
      <t xml:space="preserve">預報欄由 </t>
    </r>
    <r>
      <rPr>
        <sz val="9"/>
        <color rgb="FF808080"/>
        <rFont val="Arial"/>
        <family val="2"/>
      </rPr>
      <t>simulations/lab1/*.raw</t>
    </r>
    <r>
      <rPr>
        <sz val="9"/>
        <color rgb="FF808080"/>
        <rFont val="Linux Libertine G"/>
        <family val="2"/>
      </rPr>
      <t>（</t>
    </r>
    <r>
      <rPr>
        <sz val="9"/>
        <color rgb="FF808080"/>
        <rFont val="Arial"/>
        <family val="2"/>
      </rPr>
      <t>LTspice</t>
    </r>
    <r>
      <rPr>
        <sz val="9"/>
        <color rgb="FF808080"/>
        <rFont val="Linux Libertine G"/>
        <family val="2"/>
      </rPr>
      <t xml:space="preserve">，真實 </t>
    </r>
    <r>
      <rPr>
        <sz val="9"/>
        <color rgb="FF808080"/>
        <rFont val="Arial"/>
        <family val="2"/>
      </rPr>
      <t xml:space="preserve">1N4007 </t>
    </r>
    <r>
      <rPr>
        <sz val="9"/>
        <color rgb="FF808080"/>
        <rFont val="Linux Libertine G"/>
        <family val="2"/>
      </rPr>
      <t xml:space="preserve">模型）以 </t>
    </r>
    <r>
      <rPr>
        <sz val="9"/>
        <color rgb="FF808080"/>
        <rFont val="Arial"/>
        <family val="2"/>
      </rPr>
      <t xml:space="preserve">build_record_xlsx.py </t>
    </r>
    <r>
      <rPr>
        <sz val="9"/>
        <color rgb="FF808080"/>
        <rFont val="Linux Libertine G"/>
        <family val="2"/>
      </rPr>
      <t xml:space="preserve">產生；講義規格出自 </t>
    </r>
    <r>
      <rPr>
        <sz val="9"/>
        <color rgb="FF808080"/>
        <rFont val="Arial"/>
        <family val="2"/>
      </rPr>
      <t>App_Lab1.pdf</t>
    </r>
    <r>
      <rPr>
        <sz val="9"/>
        <color rgb="FF808080"/>
        <rFont val="Linux Libertine G"/>
        <family val="2"/>
      </rPr>
      <t>。</t>
    </r>
  </si>
  <si>
    <r>
      <rPr>
        <sz val="9"/>
        <color rgb="FF808080"/>
        <rFont val="Linux Libertine G"/>
        <family val="2"/>
      </rPr>
      <t xml:space="preserve">講義第 </t>
    </r>
    <r>
      <rPr>
        <sz val="9"/>
        <color rgb="FF808080"/>
        <rFont val="Arial"/>
        <family val="2"/>
      </rPr>
      <t xml:space="preserve">6 </t>
    </r>
    <r>
      <rPr>
        <sz val="9"/>
        <color rgb="FF808080"/>
        <rFont val="Linux Libertine G"/>
        <family val="2"/>
      </rPr>
      <t>頁：</t>
    </r>
    <r>
      <rPr>
        <sz val="9"/>
        <color rgb="FF808080"/>
        <rFont val="Arial"/>
        <family val="2"/>
      </rPr>
      <t xml:space="preserve">Vs </t>
    </r>
    <r>
      <rPr>
        <sz val="9"/>
        <color rgb="FF808080"/>
        <rFont val="Linux Libertine G"/>
        <family val="2"/>
      </rPr>
      <t xml:space="preserve">每次加 </t>
    </r>
    <r>
      <rPr>
        <sz val="9"/>
        <color rgb="FF808080"/>
        <rFont val="Arial"/>
        <family val="2"/>
      </rPr>
      <t>0.1 V</t>
    </r>
    <r>
      <rPr>
        <sz val="9"/>
        <color rgb="FF808080"/>
        <rFont val="Linux Libertine G"/>
        <family val="2"/>
      </rPr>
      <t xml:space="preserve">，記錄 </t>
    </r>
    <r>
      <rPr>
        <sz val="9"/>
        <color rgb="FF808080"/>
        <rFont val="Arial"/>
        <family val="2"/>
      </rPr>
      <t xml:space="preserve">V_D </t>
    </r>
    <r>
      <rPr>
        <sz val="9"/>
        <color rgb="FF808080"/>
        <rFont val="Linux Libertine G"/>
        <family val="2"/>
      </rPr>
      <t xml:space="preserve">與 </t>
    </r>
    <r>
      <rPr>
        <sz val="9"/>
        <color rgb="FF808080"/>
        <rFont val="Arial"/>
        <family val="2"/>
      </rPr>
      <t>I</t>
    </r>
    <r>
      <rPr>
        <sz val="9"/>
        <color rgb="FF808080"/>
        <rFont val="Linux Libertine G"/>
        <family val="2"/>
      </rPr>
      <t xml:space="preserve">，畫出 </t>
    </r>
    <r>
      <rPr>
        <sz val="9"/>
        <color rgb="FF808080"/>
        <rFont val="Arial"/>
        <family val="2"/>
      </rPr>
      <t xml:space="preserve">I-V </t>
    </r>
    <r>
      <rPr>
        <sz val="9"/>
        <color rgb="FF808080"/>
        <rFont val="Linux Libertine G"/>
        <family val="2"/>
      </rPr>
      <t>特性曲線找導通電壓</t>
    </r>
  </si>
  <si>
    <r>
      <rPr>
        <b/>
        <sz val="11"/>
        <rFont val="Linux Libertine G"/>
        <family val="2"/>
      </rPr>
      <t xml:space="preserve">限流電阻 </t>
    </r>
    <r>
      <rPr>
        <b/>
        <sz val="11"/>
        <rFont val="Arial"/>
        <family val="2"/>
      </rPr>
      <t>R (Ω)</t>
    </r>
  </si>
  <si>
    <r>
      <rPr>
        <sz val="9"/>
        <color rgb="FF808080"/>
        <rFont val="Linux Libertine G"/>
        <family val="2"/>
      </rPr>
      <t xml:space="preserve">← 講義第 </t>
    </r>
    <r>
      <rPr>
        <sz val="9"/>
        <color rgb="FF808080"/>
        <rFont val="Arial"/>
        <family val="2"/>
      </rPr>
      <t xml:space="preserve">6 </t>
    </r>
    <r>
      <rPr>
        <sz val="9"/>
        <color rgb="FF808080"/>
        <rFont val="Linux Libertine G"/>
        <family val="2"/>
      </rPr>
      <t xml:space="preserve">頁指定；改這一格，右邊的 </t>
    </r>
    <r>
      <rPr>
        <sz val="9"/>
        <color rgb="FF808080"/>
        <rFont val="Arial"/>
        <family val="2"/>
      </rPr>
      <t xml:space="preserve">I </t>
    </r>
    <r>
      <rPr>
        <sz val="9"/>
        <color rgb="FF808080"/>
        <rFont val="Linux Libertine G"/>
        <family val="2"/>
      </rPr>
      <t>計算欄會跟著變</t>
    </r>
  </si>
  <si>
    <r>
      <rPr>
        <b/>
        <sz val="11"/>
        <rFont val="Linux Libertine G"/>
        <family val="2"/>
      </rPr>
      <t xml:space="preserve">實測 </t>
    </r>
    <r>
      <rPr>
        <b/>
        <sz val="11"/>
        <rFont val="Arial"/>
        <family val="2"/>
      </rPr>
      <t xml:space="preserve">I (mA)
</t>
    </r>
    <r>
      <rPr>
        <b/>
        <sz val="11"/>
        <rFont val="Linux Libertine G"/>
        <family val="2"/>
      </rPr>
      <t>【電表】</t>
    </r>
  </si>
  <si>
    <t>V_R = Vs − V_D (V)</t>
  </si>
  <si>
    <t>I = V_R / R (mA)</t>
  </si>
  <si>
    <r>
      <rPr>
        <b/>
        <sz val="11"/>
        <rFont val="Linux Libertine G"/>
        <family val="2"/>
      </rPr>
      <t xml:space="preserve">電表 </t>
    </r>
    <r>
      <rPr>
        <b/>
        <sz val="11"/>
        <rFont val="Arial"/>
        <family val="2"/>
      </rPr>
      <t xml:space="preserve">vs </t>
    </r>
    <r>
      <rPr>
        <b/>
        <sz val="11"/>
        <rFont val="Linux Libertine G"/>
        <family val="2"/>
      </rPr>
      <t xml:space="preserve">計算
差異 </t>
    </r>
    <r>
      <rPr>
        <b/>
        <sz val="11"/>
        <rFont val="Arial"/>
        <family val="2"/>
      </rPr>
      <t>(%)</t>
    </r>
  </si>
  <si>
    <t>LTspice V_D (V)</t>
  </si>
  <si>
    <t>LTspice I (mA)</t>
  </si>
  <si>
    <r>
      <rPr>
        <b/>
        <sz val="11"/>
        <rFont val="Arial"/>
        <family val="2"/>
      </rPr>
      <t xml:space="preserve">V_D </t>
    </r>
    <r>
      <rPr>
        <b/>
        <sz val="11"/>
        <rFont val="Linux Libertine G"/>
        <family val="2"/>
      </rPr>
      <t xml:space="preserve">誤差 </t>
    </r>
    <r>
      <rPr>
        <b/>
        <sz val="11"/>
        <rFont val="Arial"/>
        <family val="2"/>
      </rPr>
      <t>(%)</t>
    </r>
  </si>
  <si>
    <r>
      <rPr>
        <sz val="9"/>
        <color rgb="FF808080"/>
        <rFont val="Arial"/>
        <family val="2"/>
      </rPr>
      <t>G</t>
    </r>
    <r>
      <rPr>
        <sz val="9"/>
        <color rgb="FF808080"/>
        <rFont val="Linux Libertine G"/>
        <family val="2"/>
      </rPr>
      <t>、</t>
    </r>
    <r>
      <rPr>
        <sz val="9"/>
        <color rgb="FF808080"/>
        <rFont val="Arial"/>
        <family val="2"/>
      </rPr>
      <t xml:space="preserve">H </t>
    </r>
    <r>
      <rPr>
        <sz val="9"/>
        <color rgb="FF808080"/>
        <rFont val="Linux Libertine G"/>
        <family val="2"/>
      </rPr>
      <t>欄：</t>
    </r>
    <r>
      <rPr>
        <sz val="9"/>
        <color rgb="FF808080"/>
        <rFont val="Arial"/>
        <family val="2"/>
      </rPr>
      <t>LTspice 1N4007</t>
    </r>
    <r>
      <rPr>
        <sz val="9"/>
        <color rgb="FF808080"/>
        <rFont val="Linux Libertine G"/>
        <family val="2"/>
      </rPr>
      <t>（</t>
    </r>
    <r>
      <rPr>
        <sz val="9"/>
        <color rgb="FF808080"/>
        <rFont val="Arial"/>
        <family val="2"/>
      </rPr>
      <t>lab1-exp1-forward.raw</t>
    </r>
    <r>
      <rPr>
        <sz val="9"/>
        <color rgb="FF808080"/>
        <rFont val="Linux Libertine G"/>
        <family val="2"/>
      </rPr>
      <t xml:space="preserve">）在同一組 </t>
    </r>
    <r>
      <rPr>
        <sz val="9"/>
        <color rgb="FF808080"/>
        <rFont val="Arial"/>
        <family val="2"/>
      </rPr>
      <t xml:space="preserve">Vs </t>
    </r>
    <r>
      <rPr>
        <sz val="9"/>
        <color rgb="FF808080"/>
        <rFont val="Linux Libertine G"/>
        <family val="2"/>
      </rPr>
      <t>的模擬值，當預報用。</t>
    </r>
    <r>
      <rPr>
        <sz val="9"/>
        <color rgb="FF808080"/>
        <rFont val="Arial"/>
        <family val="2"/>
      </rPr>
      <t xml:space="preserve">F </t>
    </r>
    <r>
      <rPr>
        <sz val="9"/>
        <color rgb="FF808080"/>
        <rFont val="Linux Libertine G"/>
        <family val="2"/>
      </rPr>
      <t>欄兩者差太多通常是電表接成並聯。</t>
    </r>
  </si>
  <si>
    <t>當天拍照檢查表（離開實驗室前逐項打勾）</t>
  </si>
  <si>
    <t>要留的證據</t>
  </si>
  <si>
    <t>打勾</t>
  </si>
  <si>
    <t>備註</t>
  </si>
  <si>
    <r>
      <rPr>
        <sz val="11"/>
        <rFont val="Linux Libertine G"/>
        <family val="2"/>
      </rPr>
      <t xml:space="preserve">麵包板全景照 </t>
    </r>
    <r>
      <rPr>
        <sz val="11"/>
        <rFont val="Arial"/>
        <family val="2"/>
      </rPr>
      <t xml:space="preserve">1 </t>
    </r>
    <r>
      <rPr>
        <sz val="11"/>
        <rFont val="Linux Libertine G"/>
        <family val="2"/>
      </rPr>
      <t>張</t>
    </r>
  </si>
  <si>
    <r>
      <rPr>
        <sz val="9"/>
        <color rgb="FF808080"/>
        <rFont val="Linux Libertine G"/>
        <family val="2"/>
      </rPr>
      <t xml:space="preserve">看得出 </t>
    </r>
    <r>
      <rPr>
        <sz val="9"/>
        <color rgb="FF808080"/>
        <rFont val="Arial"/>
        <family val="2"/>
      </rPr>
      <t xml:space="preserve">D1 </t>
    </r>
    <r>
      <rPr>
        <sz val="9"/>
        <color rgb="FF808080"/>
        <rFont val="Linux Libertine G"/>
        <family val="2"/>
      </rPr>
      <t>色環方向、</t>
    </r>
    <r>
      <rPr>
        <sz val="9"/>
        <color rgb="FF808080"/>
        <rFont val="Arial"/>
        <family val="2"/>
      </rPr>
      <t xml:space="preserve">1 kΩ </t>
    </r>
    <r>
      <rPr>
        <sz val="9"/>
        <color rgb="FF808080"/>
        <rFont val="Linux Libertine G"/>
        <family val="2"/>
      </rPr>
      <t>與跳線各插在第幾欄</t>
    </r>
  </si>
  <si>
    <r>
      <rPr>
        <sz val="11"/>
        <rFont val="Linux Libertine G"/>
        <family val="2"/>
      </rPr>
      <t xml:space="preserve">電表接線特寫 </t>
    </r>
    <r>
      <rPr>
        <sz val="11"/>
        <rFont val="Arial"/>
        <family val="2"/>
      </rPr>
      <t xml:space="preserve">1 </t>
    </r>
    <r>
      <rPr>
        <sz val="11"/>
        <rFont val="Linux Libertine G"/>
        <family val="2"/>
      </rPr>
      <t>張</t>
    </r>
  </si>
  <si>
    <r>
      <rPr>
        <sz val="9"/>
        <color rgb="FF808080"/>
        <rFont val="Linux Libertine G"/>
        <family val="2"/>
      </rPr>
      <t xml:space="preserve">電壓表跨 </t>
    </r>
    <r>
      <rPr>
        <sz val="9"/>
        <color rgb="FF808080"/>
        <rFont val="Arial"/>
        <family val="2"/>
      </rPr>
      <t xml:space="preserve">D1 </t>
    </r>
    <r>
      <rPr>
        <sz val="9"/>
        <color rgb="FF808080"/>
        <rFont val="Linux Libertine G"/>
        <family val="2"/>
      </rPr>
      <t xml:space="preserve">兩端、電流表串在 </t>
    </r>
    <r>
      <rPr>
        <sz val="9"/>
        <color rgb="FF808080"/>
        <rFont val="Arial"/>
        <family val="2"/>
      </rPr>
      <t xml:space="preserve">R1 </t>
    </r>
    <r>
      <rPr>
        <sz val="9"/>
        <color rgb="FF808080"/>
        <rFont val="Linux Libertine G"/>
        <family val="2"/>
      </rPr>
      <t>之後，紅黑棒插孔要入鏡</t>
    </r>
  </si>
  <si>
    <r>
      <rPr>
        <sz val="11"/>
        <rFont val="Linux Libertine G"/>
        <family val="2"/>
      </rPr>
      <t xml:space="preserve">電源供應器面板 </t>
    </r>
    <r>
      <rPr>
        <sz val="11"/>
        <rFont val="Arial"/>
        <family val="2"/>
      </rPr>
      <t xml:space="preserve">1 </t>
    </r>
    <r>
      <rPr>
        <sz val="11"/>
        <rFont val="Linux Libertine G"/>
        <family val="2"/>
      </rPr>
      <t>張</t>
    </r>
  </si>
  <si>
    <r>
      <rPr>
        <sz val="9"/>
        <color rgb="FF808080"/>
        <rFont val="Linux Libertine G"/>
        <family val="2"/>
      </rPr>
      <t xml:space="preserve">任一列的 </t>
    </r>
    <r>
      <rPr>
        <sz val="9"/>
        <color rgb="FF808080"/>
        <rFont val="Arial"/>
        <family val="2"/>
      </rPr>
      <t xml:space="preserve">Vs </t>
    </r>
    <r>
      <rPr>
        <sz val="9"/>
        <color rgb="FF808080"/>
        <rFont val="Linux Libertine G"/>
        <family val="2"/>
      </rPr>
      <t>與面板電流讀值，和記錄表對得上</t>
    </r>
  </si>
  <si>
    <r>
      <rPr>
        <sz val="11"/>
        <rFont val="Linux Libertine G"/>
        <family val="2"/>
      </rPr>
      <t xml:space="preserve">記錄表 </t>
    </r>
    <r>
      <rPr>
        <sz val="11"/>
        <rFont val="Arial"/>
        <family val="2"/>
      </rPr>
      <t xml:space="preserve">20 </t>
    </r>
    <r>
      <rPr>
        <sz val="11"/>
        <rFont val="Linux Libertine G"/>
        <family val="2"/>
      </rPr>
      <t>列填滿</t>
    </r>
  </si>
  <si>
    <r>
      <rPr>
        <sz val="9"/>
        <color rgb="FF808080"/>
        <rFont val="Arial"/>
        <family val="2"/>
      </rPr>
      <t>B</t>
    </r>
    <r>
      <rPr>
        <sz val="9"/>
        <color rgb="FF808080"/>
        <rFont val="Linux Libertine G"/>
        <family val="2"/>
      </rPr>
      <t>、</t>
    </r>
    <r>
      <rPr>
        <sz val="9"/>
        <color rgb="FF808080"/>
        <rFont val="Arial"/>
        <family val="2"/>
      </rPr>
      <t xml:space="preserve">C </t>
    </r>
    <r>
      <rPr>
        <sz val="9"/>
        <color rgb="FF808080"/>
        <rFont val="Linux Libertine G"/>
        <family val="2"/>
      </rPr>
      <t>欄都要有值；</t>
    </r>
    <r>
      <rPr>
        <sz val="9"/>
        <color rgb="FF808080"/>
        <rFont val="Arial"/>
        <family val="2"/>
      </rPr>
      <t xml:space="preserve">F </t>
    </r>
    <r>
      <rPr>
        <sz val="9"/>
        <color rgb="FF808080"/>
        <rFont val="Linux Libertine G"/>
        <family val="2"/>
      </rPr>
      <t>欄差異過大先檢查電表是否接成並聯</t>
    </r>
  </si>
  <si>
    <r>
      <rPr>
        <sz val="11"/>
        <rFont val="Linux Libertine G"/>
        <family val="2"/>
      </rPr>
      <t xml:space="preserve">上傳 </t>
    </r>
    <r>
      <rPr>
        <sz val="11"/>
        <rFont val="Arial"/>
        <family val="2"/>
      </rPr>
      <t xml:space="preserve">E3 </t>
    </r>
    <r>
      <rPr>
        <sz val="11"/>
        <rFont val="Linux Libertine G"/>
        <family val="2"/>
      </rPr>
      <t>並找助教登記</t>
    </r>
  </si>
  <si>
    <t>下課前完成，結報數字必須和上傳的一致</t>
  </si>
  <si>
    <r>
      <rPr>
        <sz val="9"/>
        <color rgb="FF808080"/>
        <rFont val="Linux Libertine G"/>
        <family val="2"/>
      </rPr>
      <t xml:space="preserve">講義第 </t>
    </r>
    <r>
      <rPr>
        <sz val="9"/>
        <color rgb="FF808080"/>
        <rFont val="Arial"/>
        <family val="2"/>
      </rPr>
      <t xml:space="preserve">12 </t>
    </r>
    <r>
      <rPr>
        <sz val="9"/>
        <color rgb="FF808080"/>
        <rFont val="Linux Libertine G"/>
        <family val="2"/>
      </rPr>
      <t>頁：</t>
    </r>
    <r>
      <rPr>
        <sz val="9"/>
        <color rgb="FF808080"/>
        <rFont val="Arial"/>
        <family val="2"/>
      </rPr>
      <t xml:space="preserve">Vs </t>
    </r>
    <r>
      <rPr>
        <sz val="9"/>
        <color rgb="FF808080"/>
        <rFont val="Linux Libertine G"/>
        <family val="2"/>
      </rPr>
      <t xml:space="preserve">每次加 </t>
    </r>
    <r>
      <rPr>
        <sz val="9"/>
        <color rgb="FF808080"/>
        <rFont val="Arial"/>
        <family val="2"/>
      </rPr>
      <t>1 V</t>
    </r>
    <r>
      <rPr>
        <sz val="9"/>
        <color rgb="FF808080"/>
        <rFont val="Linux Libertine G"/>
        <family val="2"/>
      </rPr>
      <t xml:space="preserve">，記錄 </t>
    </r>
    <r>
      <rPr>
        <sz val="9"/>
        <color rgb="FF808080"/>
        <rFont val="Arial"/>
        <family val="2"/>
      </rPr>
      <t xml:space="preserve">V_D </t>
    </r>
    <r>
      <rPr>
        <sz val="9"/>
        <color rgb="FF808080"/>
        <rFont val="Linux Libertine G"/>
        <family val="2"/>
      </rPr>
      <t xml:space="preserve">與漏電流；電流表要用 </t>
    </r>
    <r>
      <rPr>
        <sz val="9"/>
        <color rgb="FF808080"/>
        <rFont val="Arial"/>
        <family val="2"/>
      </rPr>
      <t xml:space="preserve">µA </t>
    </r>
    <r>
      <rPr>
        <sz val="9"/>
        <color rgb="FF808080"/>
        <rFont val="Linux Libertine G"/>
        <family val="2"/>
      </rPr>
      <t>檔</t>
    </r>
  </si>
  <si>
    <r>
      <rPr>
        <b/>
        <sz val="11"/>
        <rFont val="Arial"/>
        <family val="2"/>
      </rPr>
      <t xml:space="preserve">datasheet </t>
    </r>
    <r>
      <rPr>
        <b/>
        <sz val="11"/>
        <rFont val="Linux Libertine G"/>
        <family val="2"/>
      </rPr>
      <t xml:space="preserve">漏電流上限 </t>
    </r>
    <r>
      <rPr>
        <b/>
        <sz val="11"/>
        <rFont val="Arial"/>
        <family val="2"/>
      </rPr>
      <t>(µA)</t>
    </r>
  </si>
  <si>
    <r>
      <rPr>
        <sz val="9"/>
        <color rgb="FF808080"/>
        <rFont val="Arial"/>
        <family val="2"/>
      </rPr>
      <t xml:space="preserve">← 1N4007 datasheet </t>
    </r>
    <r>
      <rPr>
        <sz val="9"/>
        <color rgb="FF808080"/>
        <rFont val="Linux Libertine G"/>
        <family val="2"/>
      </rPr>
      <t xml:space="preserve">的 </t>
    </r>
    <r>
      <rPr>
        <sz val="9"/>
        <color rgb="FF808080"/>
        <rFont val="Arial"/>
        <family val="2"/>
      </rPr>
      <t xml:space="preserve">I_R </t>
    </r>
    <r>
      <rPr>
        <sz val="9"/>
        <color rgb="FF808080"/>
        <rFont val="Linux Libertine G"/>
        <family val="2"/>
      </rPr>
      <t>上限，圖上會畫成一條水平參考線</t>
    </r>
  </si>
  <si>
    <r>
      <rPr>
        <b/>
        <sz val="11"/>
        <rFont val="Linux Libertine G"/>
        <family val="2"/>
      </rPr>
      <t xml:space="preserve">實測 </t>
    </r>
    <r>
      <rPr>
        <b/>
        <sz val="11"/>
        <rFont val="Arial"/>
        <family val="2"/>
      </rPr>
      <t>I (µA)</t>
    </r>
  </si>
  <si>
    <t>Vs − V_D (V)</t>
  </si>
  <si>
    <t>LTspice I (nA)</t>
  </si>
  <si>
    <t>LTspice I (µA)</t>
  </si>
  <si>
    <r>
      <rPr>
        <b/>
        <sz val="11"/>
        <rFont val="Arial"/>
        <family val="2"/>
      </rPr>
      <t xml:space="preserve">datasheet </t>
    </r>
    <r>
      <rPr>
        <b/>
        <sz val="11"/>
        <rFont val="Linux Libertine G"/>
        <family val="2"/>
      </rPr>
      <t xml:space="preserve">上限 </t>
    </r>
    <r>
      <rPr>
        <b/>
        <sz val="11"/>
        <rFont val="Arial"/>
        <family val="2"/>
      </rPr>
      <t>(µA)</t>
    </r>
  </si>
  <si>
    <r>
      <rPr>
        <sz val="9"/>
        <color rgb="FF808080"/>
        <rFont val="Arial"/>
        <family val="2"/>
      </rPr>
      <t xml:space="preserve">D </t>
    </r>
    <r>
      <rPr>
        <sz val="9"/>
        <color rgb="FF808080"/>
        <rFont val="Linux Libertine G"/>
        <family val="2"/>
      </rPr>
      <t xml:space="preserve">欄接近 </t>
    </r>
    <r>
      <rPr>
        <sz val="9"/>
        <color rgb="FF808080"/>
        <rFont val="Arial"/>
        <family val="2"/>
      </rPr>
      <t xml:space="preserve">0 </t>
    </r>
    <r>
      <rPr>
        <sz val="9"/>
        <color rgb="FF808080"/>
        <rFont val="Linux Libertine G"/>
        <family val="2"/>
      </rPr>
      <t xml:space="preserve">代表電源加多少、二極體就吃多少，電阻上沒有壓降——逆偏接對了。實測電流若落在 </t>
    </r>
    <r>
      <rPr>
        <sz val="9"/>
        <color rgb="FF808080"/>
        <rFont val="Arial"/>
        <family val="2"/>
      </rPr>
      <t>0.1–2 µA</t>
    </r>
    <r>
      <rPr>
        <sz val="9"/>
        <color rgb="FF808080"/>
        <rFont val="Linux Libertine G"/>
        <family val="2"/>
      </rPr>
      <t xml:space="preserve">，多半是電表 </t>
    </r>
    <r>
      <rPr>
        <sz val="9"/>
        <color rgb="FF808080"/>
        <rFont val="Arial"/>
        <family val="2"/>
      </rPr>
      <t xml:space="preserve">10 MΩ </t>
    </r>
    <r>
      <rPr>
        <sz val="9"/>
        <color rgb="FF808080"/>
        <rFont val="Linux Libertine G"/>
        <family val="2"/>
      </rPr>
      <t>輸入阻抗分走的，不是二極體漏電流。</t>
    </r>
  </si>
  <si>
    <r>
      <rPr>
        <sz val="9"/>
        <color rgb="FF808080"/>
        <rFont val="Arial"/>
        <family val="2"/>
      </rPr>
      <t xml:space="preserve">D1 </t>
    </r>
    <r>
      <rPr>
        <sz val="9"/>
        <color rgb="FF808080"/>
        <rFont val="Linux Libertine G"/>
        <family val="2"/>
      </rPr>
      <t>反接（色環朝電源正極那側），看得出每顆元件插在第幾欄</t>
    </r>
  </si>
  <si>
    <r>
      <rPr>
        <sz val="11"/>
        <rFont val="Linux Libertine G"/>
        <family val="2"/>
      </rPr>
      <t xml:space="preserve">電流表 </t>
    </r>
    <r>
      <rPr>
        <sz val="11"/>
        <rFont val="Arial"/>
        <family val="2"/>
      </rPr>
      <t xml:space="preserve">µA </t>
    </r>
    <r>
      <rPr>
        <sz val="11"/>
        <rFont val="Linux Libertine G"/>
        <family val="2"/>
      </rPr>
      <t xml:space="preserve">檔特寫 </t>
    </r>
    <r>
      <rPr>
        <sz val="11"/>
        <rFont val="Arial"/>
        <family val="2"/>
      </rPr>
      <t xml:space="preserve">1 </t>
    </r>
    <r>
      <rPr>
        <sz val="11"/>
        <rFont val="Linux Libertine G"/>
        <family val="2"/>
      </rPr>
      <t>張</t>
    </r>
  </si>
  <si>
    <r>
      <rPr>
        <sz val="9"/>
        <color rgb="FF808080"/>
        <rFont val="Linux Libertine G"/>
        <family val="2"/>
      </rPr>
      <t>檔位旋鈕與讀值同框；</t>
    </r>
    <r>
      <rPr>
        <sz val="9"/>
        <color rgb="FF808080"/>
        <rFont val="Arial"/>
        <family val="2"/>
      </rPr>
      <t xml:space="preserve">mA </t>
    </r>
    <r>
      <rPr>
        <sz val="9"/>
        <color rgb="FF808080"/>
        <rFont val="Linux Libertine G"/>
        <family val="2"/>
      </rPr>
      <t xml:space="preserve">檔只會顯示 </t>
    </r>
    <r>
      <rPr>
        <sz val="9"/>
        <color rgb="FF808080"/>
        <rFont val="Arial"/>
        <family val="2"/>
      </rPr>
      <t>0</t>
    </r>
  </si>
  <si>
    <r>
      <rPr>
        <sz val="11"/>
        <rFont val="Linux Libertine G"/>
        <family val="2"/>
      </rPr>
      <t xml:space="preserve">拿掉電壓表再量 </t>
    </r>
    <r>
      <rPr>
        <sz val="11"/>
        <rFont val="Arial"/>
        <family val="2"/>
      </rPr>
      <t xml:space="preserve">1 </t>
    </r>
    <r>
      <rPr>
        <sz val="11"/>
        <rFont val="Linux Libertine G"/>
        <family val="2"/>
      </rPr>
      <t>次</t>
    </r>
  </si>
  <si>
    <r>
      <rPr>
        <sz val="9"/>
        <color rgb="FF808080"/>
        <rFont val="Linux Libertine G"/>
        <family val="2"/>
      </rPr>
      <t xml:space="preserve">至少 </t>
    </r>
    <r>
      <rPr>
        <sz val="9"/>
        <color rgb="FF808080"/>
        <rFont val="Arial"/>
        <family val="2"/>
      </rPr>
      <t xml:space="preserve">10 V </t>
    </r>
    <r>
      <rPr>
        <sz val="9"/>
        <color rgb="FF808080"/>
        <rFont val="Linux Libertine G"/>
        <family val="2"/>
      </rPr>
      <t xml:space="preserve">與 </t>
    </r>
    <r>
      <rPr>
        <sz val="9"/>
        <color rgb="FF808080"/>
        <rFont val="Arial"/>
        <family val="2"/>
      </rPr>
      <t xml:space="preserve">20 V </t>
    </r>
    <r>
      <rPr>
        <sz val="9"/>
        <color rgb="FF808080"/>
        <rFont val="Linux Libertine G"/>
        <family val="2"/>
      </rPr>
      <t>兩列，兩個電流讀值的差就是電壓表分走的</t>
    </r>
  </si>
  <si>
    <r>
      <rPr>
        <sz val="9"/>
        <color rgb="FF808080"/>
        <rFont val="Arial"/>
        <family val="2"/>
      </rPr>
      <t xml:space="preserve">D </t>
    </r>
    <r>
      <rPr>
        <sz val="9"/>
        <color rgb="FF808080"/>
        <rFont val="Linux Libertine G"/>
        <family val="2"/>
      </rPr>
      <t xml:space="preserve">欄應接近 </t>
    </r>
    <r>
      <rPr>
        <sz val="9"/>
        <color rgb="FF808080"/>
        <rFont val="Arial"/>
        <family val="2"/>
      </rPr>
      <t>0</t>
    </r>
    <r>
      <rPr>
        <sz val="9"/>
        <color rgb="FF808080"/>
        <rFont val="Linux Libertine G"/>
        <family val="2"/>
      </rPr>
      <t>；跑到零點幾伏就是二極體插反了</t>
    </r>
  </si>
  <si>
    <t>下課前完成</t>
  </si>
  <si>
    <r>
      <rPr>
        <sz val="9"/>
        <color rgb="FF808080"/>
        <rFont val="Linux Libertine G"/>
        <family val="2"/>
      </rPr>
      <t xml:space="preserve">講義第 </t>
    </r>
    <r>
      <rPr>
        <sz val="9"/>
        <color rgb="FF808080"/>
        <rFont val="Arial"/>
        <family val="2"/>
      </rPr>
      <t>18</t>
    </r>
    <r>
      <rPr>
        <sz val="9"/>
        <color rgb="FF808080"/>
        <rFont val="Linux Libertine G"/>
        <family val="2"/>
      </rPr>
      <t>、</t>
    </r>
    <r>
      <rPr>
        <sz val="9"/>
        <color rgb="FF808080"/>
        <rFont val="Arial"/>
        <family val="2"/>
      </rPr>
      <t xml:space="preserve">20 </t>
    </r>
    <r>
      <rPr>
        <sz val="9"/>
        <color rgb="FF808080"/>
        <rFont val="Linux Libertine G"/>
        <family val="2"/>
      </rPr>
      <t>頁：</t>
    </r>
    <r>
      <rPr>
        <sz val="9"/>
        <color rgb="FF808080"/>
        <rFont val="Arial"/>
        <family val="2"/>
      </rPr>
      <t>60 Hz</t>
    </r>
    <r>
      <rPr>
        <sz val="9"/>
        <color rgb="FF808080"/>
        <rFont val="Linux Libertine G"/>
        <family val="2"/>
      </rPr>
      <t>、</t>
    </r>
    <r>
      <rPr>
        <sz val="9"/>
        <color rgb="FF808080"/>
        <rFont val="Arial"/>
        <family val="2"/>
      </rPr>
      <t>10 Vpp</t>
    </r>
    <r>
      <rPr>
        <sz val="9"/>
        <color rgb="FF808080"/>
        <rFont val="Linux Libertine G"/>
        <family val="2"/>
      </rPr>
      <t>、</t>
    </r>
    <r>
      <rPr>
        <sz val="9"/>
        <color rgb="FF808080"/>
        <rFont val="Arial"/>
        <family val="2"/>
      </rPr>
      <t>1N4007</t>
    </r>
    <r>
      <rPr>
        <sz val="9"/>
        <color rgb="FF808080"/>
        <rFont val="Linux Libertine G"/>
        <family val="2"/>
      </rPr>
      <t>、</t>
    </r>
    <r>
      <rPr>
        <sz val="9"/>
        <color rgb="FF808080"/>
        <rFont val="Arial"/>
        <family val="2"/>
      </rPr>
      <t>R = 10 kΩ</t>
    </r>
    <r>
      <rPr>
        <sz val="9"/>
        <color rgb="FF808080"/>
        <rFont val="Linux Libertine G"/>
        <family val="2"/>
      </rPr>
      <t>、</t>
    </r>
    <r>
      <rPr>
        <sz val="9"/>
        <color rgb="FF808080"/>
        <rFont val="Arial"/>
        <family val="2"/>
      </rPr>
      <t>C = 1 µF</t>
    </r>
  </si>
  <si>
    <t>區段</t>
  </si>
  <si>
    <t>量測項目</t>
  </si>
  <si>
    <t>實測</t>
  </si>
  <si>
    <r>
      <rPr>
        <b/>
        <sz val="11"/>
        <rFont val="Linux Libertine G"/>
        <family val="2"/>
      </rPr>
      <t>預報（</t>
    </r>
    <r>
      <rPr>
        <b/>
        <sz val="11"/>
        <rFont val="Arial"/>
        <family val="2"/>
      </rPr>
      <t>LTspice</t>
    </r>
    <r>
      <rPr>
        <b/>
        <sz val="11"/>
        <rFont val="Linux Libertine G"/>
        <family val="2"/>
      </rPr>
      <t>）</t>
    </r>
  </si>
  <si>
    <t>理想公式</t>
  </si>
  <si>
    <r>
      <rPr>
        <b/>
        <sz val="11"/>
        <rFont val="Linux Libertine G"/>
        <family val="2"/>
      </rPr>
      <t xml:space="preserve">誤差 </t>
    </r>
    <r>
      <rPr>
        <b/>
        <sz val="11"/>
        <rFont val="Arial"/>
        <family val="2"/>
      </rPr>
      <t>(%)</t>
    </r>
  </si>
  <si>
    <t>說明</t>
  </si>
  <si>
    <t>V_peak (V)</t>
  </si>
  <si>
    <t>V_rms (V)</t>
  </si>
  <si>
    <t>V_avg (V)</t>
  </si>
  <si>
    <r>
      <rPr>
        <sz val="11"/>
        <rFont val="Linux Libertine G"/>
        <family val="2"/>
      </rPr>
      <t xml:space="preserve">漣波 </t>
    </r>
    <r>
      <rPr>
        <sz val="11"/>
        <rFont val="Arial"/>
        <family val="2"/>
      </rPr>
      <t>V_R (V)</t>
    </r>
  </si>
  <si>
    <t>推算值</t>
  </si>
  <si>
    <r>
      <rPr>
        <b/>
        <sz val="11"/>
        <rFont val="Linux Libertine G"/>
        <family val="2"/>
      </rPr>
      <t xml:space="preserve">整流效率 </t>
    </r>
    <r>
      <rPr>
        <b/>
        <sz val="11"/>
        <rFont val="Arial"/>
        <family val="2"/>
      </rPr>
      <t>η = V_avg² / V_rms²</t>
    </r>
    <r>
      <rPr>
        <b/>
        <sz val="11"/>
        <rFont val="Linux Libertine G"/>
        <family val="2"/>
      </rPr>
      <t xml:space="preserve">（無 </t>
    </r>
    <r>
      <rPr>
        <b/>
        <sz val="11"/>
        <rFont val="Arial"/>
        <family val="2"/>
      </rPr>
      <t>C</t>
    </r>
    <r>
      <rPr>
        <b/>
        <sz val="11"/>
        <rFont val="Linux Libertine G"/>
        <family val="2"/>
      </rPr>
      <t>）</t>
    </r>
  </si>
  <si>
    <r>
      <rPr>
        <sz val="9"/>
        <color rgb="FF808080"/>
        <rFont val="Linux Libertine G"/>
        <family val="2"/>
      </rPr>
      <t xml:space="preserve">填好第 </t>
    </r>
    <r>
      <rPr>
        <sz val="9"/>
        <color rgb="FF808080"/>
        <rFont val="Arial"/>
        <family val="2"/>
      </rPr>
      <t xml:space="preserve">9 </t>
    </r>
    <r>
      <rPr>
        <sz val="9"/>
        <color rgb="FF808080"/>
        <rFont val="Linux Libertine G"/>
        <family val="2"/>
      </rPr>
      <t xml:space="preserve">列的 </t>
    </r>
    <r>
      <rPr>
        <sz val="9"/>
        <color rgb="FF808080"/>
        <rFont val="Arial"/>
        <family val="2"/>
      </rPr>
      <t xml:space="preserve">V_avg </t>
    </r>
    <r>
      <rPr>
        <sz val="9"/>
        <color rgb="FF808080"/>
        <rFont val="Linux Libertine G"/>
        <family val="2"/>
      </rPr>
      <t xml:space="preserve">與第 </t>
    </r>
    <r>
      <rPr>
        <sz val="9"/>
        <color rgb="FF808080"/>
        <rFont val="Arial"/>
        <family val="2"/>
      </rPr>
      <t xml:space="preserve">8 </t>
    </r>
    <r>
      <rPr>
        <sz val="9"/>
        <color rgb="FF808080"/>
        <rFont val="Linux Libertine G"/>
        <family val="2"/>
      </rPr>
      <t xml:space="preserve">列的 </t>
    </r>
    <r>
      <rPr>
        <sz val="9"/>
        <color rgb="FF808080"/>
        <rFont val="Arial"/>
        <family val="2"/>
      </rPr>
      <t xml:space="preserve">V_rms </t>
    </r>
    <r>
      <rPr>
        <sz val="9"/>
        <color rgb="FF808080"/>
        <rFont val="Linux Libertine G"/>
        <family val="2"/>
      </rPr>
      <t xml:space="preserve">就會自己算；理想半波上限 </t>
    </r>
    <r>
      <rPr>
        <sz val="9"/>
        <color rgb="FF808080"/>
        <rFont val="Arial"/>
        <family val="2"/>
      </rPr>
      <t>4/π² = 40.5%</t>
    </r>
  </si>
  <si>
    <r>
      <rPr>
        <b/>
        <sz val="11"/>
        <rFont val="Linux Libertine G"/>
        <family val="2"/>
      </rPr>
      <t xml:space="preserve">整流效率 </t>
    </r>
    <r>
      <rPr>
        <b/>
        <sz val="11"/>
        <rFont val="Arial"/>
        <family val="2"/>
      </rPr>
      <t>η</t>
    </r>
    <r>
      <rPr>
        <b/>
        <sz val="11"/>
        <rFont val="Linux Libertine G"/>
        <family val="2"/>
      </rPr>
      <t xml:space="preserve">（加 </t>
    </r>
    <r>
      <rPr>
        <b/>
        <sz val="11"/>
        <rFont val="Arial"/>
        <family val="2"/>
      </rPr>
      <t>1 µF</t>
    </r>
    <r>
      <rPr>
        <b/>
        <sz val="11"/>
        <rFont val="Linux Libertine G"/>
        <family val="2"/>
      </rPr>
      <t>）</t>
    </r>
  </si>
  <si>
    <r>
      <rPr>
        <sz val="9"/>
        <color rgb="FF808080"/>
        <rFont val="Linux Libertine G"/>
        <family val="2"/>
      </rPr>
      <t xml:space="preserve">同一條定義套在第 </t>
    </r>
    <r>
      <rPr>
        <sz val="9"/>
        <color rgb="FF808080"/>
        <rFont val="Arial"/>
        <family val="2"/>
      </rPr>
      <t>12</t>
    </r>
    <r>
      <rPr>
        <sz val="9"/>
        <color rgb="FF808080"/>
        <rFont val="Linux Libertine G"/>
        <family val="2"/>
      </rPr>
      <t>、</t>
    </r>
    <r>
      <rPr>
        <sz val="9"/>
        <color rgb="FF808080"/>
        <rFont val="Arial"/>
        <family val="2"/>
      </rPr>
      <t xml:space="preserve">11 </t>
    </r>
    <r>
      <rPr>
        <sz val="9"/>
        <color rgb="FF808080"/>
        <rFont val="Linux Libertine G"/>
        <family val="2"/>
      </rPr>
      <t xml:space="preserve">列。濾波把 </t>
    </r>
    <r>
      <rPr>
        <sz val="9"/>
        <color rgb="FF808080"/>
        <rFont val="Arial"/>
        <family val="2"/>
      </rPr>
      <t xml:space="preserve">V_avg </t>
    </r>
    <r>
      <rPr>
        <sz val="9"/>
        <color rgb="FF808080"/>
        <rFont val="Linux Libertine G"/>
        <family val="2"/>
      </rPr>
      <t xml:space="preserve">推向 </t>
    </r>
    <r>
      <rPr>
        <sz val="9"/>
        <color rgb="FF808080"/>
        <rFont val="Arial"/>
        <family val="2"/>
      </rPr>
      <t>V_rms</t>
    </r>
    <r>
      <rPr>
        <sz val="9"/>
        <color rgb="FF808080"/>
        <rFont val="Linux Libertine G"/>
        <family val="2"/>
      </rPr>
      <t>，效率因此大幅拉高；</t>
    </r>
    <r>
      <rPr>
        <sz val="9"/>
        <color rgb="FF808080"/>
        <rFont val="Arial"/>
        <family val="2"/>
      </rPr>
      <t xml:space="preserve">4/π² </t>
    </r>
    <r>
      <rPr>
        <sz val="9"/>
        <color rgb="FF808080"/>
        <rFont val="Linux Libertine G"/>
        <family val="2"/>
      </rPr>
      <t>是「沒有濾波」的上限，不能拿來比這一列</t>
    </r>
  </si>
  <si>
    <r>
      <rPr>
        <sz val="9"/>
        <color rgb="FF808080"/>
        <rFont val="Linux Libertine G"/>
        <family val="2"/>
      </rPr>
      <t xml:space="preserve">預報欄來自 </t>
    </r>
    <r>
      <rPr>
        <sz val="9"/>
        <color rgb="FF808080"/>
        <rFont val="Arial"/>
        <family val="2"/>
      </rPr>
      <t xml:space="preserve">lab1-exp3-halfwave.raw </t>
    </r>
    <r>
      <rPr>
        <sz val="9"/>
        <color rgb="FF808080"/>
        <rFont val="Linux Libertine G"/>
        <family val="2"/>
      </rPr>
      <t xml:space="preserve">與 </t>
    </r>
    <r>
      <rPr>
        <sz val="9"/>
        <color rgb="FF808080"/>
        <rFont val="Arial"/>
        <family val="2"/>
      </rPr>
      <t>lab1-exp3-halfwave-rc.raw</t>
    </r>
    <r>
      <rPr>
        <sz val="9"/>
        <color rgb="FF808080"/>
        <rFont val="Linux Libertine G"/>
        <family val="2"/>
      </rPr>
      <t>（</t>
    </r>
    <r>
      <rPr>
        <sz val="9"/>
        <color rgb="FF808080"/>
        <rFont val="Arial"/>
        <family val="2"/>
      </rPr>
      <t xml:space="preserve">1 µF </t>
    </r>
    <r>
      <rPr>
        <sz val="9"/>
        <color rgb="FF808080"/>
        <rFont val="Linux Libertine G"/>
        <family val="2"/>
      </rPr>
      <t xml:space="preserve">那一步）。理想欄一律以理想輸出峰值 </t>
    </r>
    <r>
      <rPr>
        <sz val="9"/>
        <color rgb="FF808080"/>
        <rFont val="Arial"/>
        <family val="2"/>
      </rPr>
      <t xml:space="preserve">4.3 V </t>
    </r>
    <r>
      <rPr>
        <sz val="9"/>
        <color rgb="FF808080"/>
        <rFont val="Linux Libertine G"/>
        <family val="2"/>
      </rPr>
      <t>代入公式，所以和預報欄有系統性的差。</t>
    </r>
  </si>
  <si>
    <r>
      <rPr>
        <sz val="11"/>
        <rFont val="Linux Libertine G"/>
        <family val="2"/>
      </rPr>
      <t xml:space="preserve">示波器畫面（無 </t>
    </r>
    <r>
      <rPr>
        <sz val="11"/>
        <rFont val="Arial"/>
        <family val="2"/>
      </rPr>
      <t>C</t>
    </r>
    <r>
      <rPr>
        <sz val="11"/>
        <rFont val="Linux Libertine G"/>
        <family val="2"/>
      </rPr>
      <t>）</t>
    </r>
    <r>
      <rPr>
        <sz val="11"/>
        <rFont val="Arial"/>
        <family val="2"/>
      </rPr>
      <t xml:space="preserve">1 </t>
    </r>
    <r>
      <rPr>
        <sz val="11"/>
        <rFont val="Linux Libertine G"/>
        <family val="2"/>
      </rPr>
      <t>張</t>
    </r>
  </si>
  <si>
    <r>
      <rPr>
        <sz val="9"/>
        <color rgb="FF808080"/>
        <rFont val="Arial"/>
        <family val="2"/>
      </rPr>
      <t xml:space="preserve">V_in </t>
    </r>
    <r>
      <rPr>
        <sz val="9"/>
        <color rgb="FF808080"/>
        <rFont val="Linux Libertine G"/>
        <family val="2"/>
      </rPr>
      <t xml:space="preserve">與 </t>
    </r>
    <r>
      <rPr>
        <sz val="9"/>
        <color rgb="FF808080"/>
        <rFont val="Arial"/>
        <family val="2"/>
      </rPr>
      <t xml:space="preserve">V_out </t>
    </r>
    <r>
      <rPr>
        <sz val="9"/>
        <color rgb="FF808080"/>
        <rFont val="Linux Libertine G"/>
        <family val="2"/>
      </rPr>
      <t>同畫面，</t>
    </r>
    <r>
      <rPr>
        <sz val="9"/>
        <color rgb="FF808080"/>
        <rFont val="Arial"/>
        <family val="2"/>
      </rPr>
      <t xml:space="preserve">[Meas] </t>
    </r>
    <r>
      <rPr>
        <sz val="9"/>
        <color rgb="FF808080"/>
        <rFont val="Linux Libertine G"/>
        <family val="2"/>
      </rPr>
      <t xml:space="preserve">的 </t>
    </r>
    <r>
      <rPr>
        <sz val="9"/>
        <color rgb="FF808080"/>
        <rFont val="Arial"/>
        <family val="2"/>
      </rPr>
      <t>Max</t>
    </r>
    <r>
      <rPr>
        <sz val="9"/>
        <color rgb="FF808080"/>
        <rFont val="Linux Libertine G"/>
        <family val="2"/>
      </rPr>
      <t>／</t>
    </r>
    <r>
      <rPr>
        <sz val="9"/>
        <color rgb="FF808080"/>
        <rFont val="Arial"/>
        <family val="2"/>
      </rPr>
      <t>RMS</t>
    </r>
    <r>
      <rPr>
        <sz val="9"/>
        <color rgb="FF808080"/>
        <rFont val="Linux Libertine G"/>
        <family val="2"/>
      </rPr>
      <t>／</t>
    </r>
    <r>
      <rPr>
        <sz val="9"/>
        <color rgb="FF808080"/>
        <rFont val="Arial"/>
        <family val="2"/>
      </rPr>
      <t xml:space="preserve">Average </t>
    </r>
    <r>
      <rPr>
        <sz val="9"/>
        <color rgb="FF808080"/>
        <rFont val="Linux Libertine G"/>
        <family val="2"/>
      </rPr>
      <t xml:space="preserve">讀值入鏡；用 </t>
    </r>
    <r>
      <rPr>
        <sz val="9"/>
        <color rgb="FF808080"/>
        <rFont val="Arial"/>
        <family val="2"/>
      </rPr>
      <t xml:space="preserve">[Save/Recall] </t>
    </r>
    <r>
      <rPr>
        <sz val="9"/>
        <color rgb="FF808080"/>
        <rFont val="Linux Libertine G"/>
        <family val="2"/>
      </rPr>
      <t xml:space="preserve">存 </t>
    </r>
    <r>
      <rPr>
        <sz val="9"/>
        <color rgb="FF808080"/>
        <rFont val="Arial"/>
        <family val="2"/>
      </rPr>
      <t>USB</t>
    </r>
    <r>
      <rPr>
        <sz val="9"/>
        <color rgb="FF808080"/>
        <rFont val="Linux Libertine G"/>
        <family val="2"/>
      </rPr>
      <t>，不要手機翻拍</t>
    </r>
  </si>
  <si>
    <r>
      <rPr>
        <sz val="11"/>
        <rFont val="Linux Libertine G"/>
        <family val="2"/>
      </rPr>
      <t xml:space="preserve">示波器畫面（加 </t>
    </r>
    <r>
      <rPr>
        <sz val="11"/>
        <rFont val="Arial"/>
        <family val="2"/>
      </rPr>
      <t>1 µF</t>
    </r>
    <r>
      <rPr>
        <sz val="11"/>
        <rFont val="Linux Libertine G"/>
        <family val="2"/>
      </rPr>
      <t>）</t>
    </r>
    <r>
      <rPr>
        <sz val="11"/>
        <rFont val="Arial"/>
        <family val="2"/>
      </rPr>
      <t xml:space="preserve">1 </t>
    </r>
    <r>
      <rPr>
        <sz val="11"/>
        <rFont val="Linux Libertine G"/>
        <family val="2"/>
      </rPr>
      <t>張</t>
    </r>
  </si>
  <si>
    <t>同上，另外要能看出漣波的谷值</t>
  </si>
  <si>
    <r>
      <rPr>
        <sz val="11"/>
        <rFont val="Linux Libertine G"/>
        <family val="2"/>
      </rPr>
      <t xml:space="preserve">麵包板全景照 </t>
    </r>
    <r>
      <rPr>
        <sz val="11"/>
        <rFont val="Arial"/>
        <family val="2"/>
      </rPr>
      <t xml:space="preserve">2 </t>
    </r>
    <r>
      <rPr>
        <sz val="11"/>
        <rFont val="Linux Libertine G"/>
        <family val="2"/>
      </rPr>
      <t>張</t>
    </r>
  </si>
  <si>
    <t>有／無電容各一張，看得出每顆元件插在第幾欄</t>
  </si>
  <si>
    <t>記錄表三個區段填滿</t>
  </si>
  <si>
    <r>
      <rPr>
        <sz val="9"/>
        <color rgb="FF808080"/>
        <rFont val="Arial"/>
        <family val="2"/>
      </rPr>
      <t xml:space="preserve">V_avg </t>
    </r>
    <r>
      <rPr>
        <sz val="9"/>
        <color rgb="FF808080"/>
        <rFont val="Linux Libertine G"/>
        <family val="2"/>
      </rPr>
      <t>欄不要留空，效率靠它算</t>
    </r>
  </si>
  <si>
    <r>
      <rPr>
        <sz val="9"/>
        <color rgb="FF808080"/>
        <rFont val="Linux Libertine G"/>
        <family val="2"/>
      </rPr>
      <t xml:space="preserve">講義第 </t>
    </r>
    <r>
      <rPr>
        <sz val="9"/>
        <color rgb="FF808080"/>
        <rFont val="Arial"/>
        <family val="2"/>
      </rPr>
      <t xml:space="preserve">25–27 </t>
    </r>
    <r>
      <rPr>
        <sz val="9"/>
        <color rgb="FF808080"/>
        <rFont val="Linux Libertine G"/>
        <family val="2"/>
      </rPr>
      <t>頁：</t>
    </r>
    <r>
      <rPr>
        <sz val="9"/>
        <color rgb="FF808080"/>
        <rFont val="Arial"/>
        <family val="2"/>
      </rPr>
      <t>60 Hz</t>
    </r>
    <r>
      <rPr>
        <sz val="9"/>
        <color rgb="FF808080"/>
        <rFont val="Linux Libertine G"/>
        <family val="2"/>
      </rPr>
      <t>、</t>
    </r>
    <r>
      <rPr>
        <sz val="9"/>
        <color rgb="FF808080"/>
        <rFont val="Arial"/>
        <family val="2"/>
      </rPr>
      <t>5 Vpp</t>
    </r>
    <r>
      <rPr>
        <sz val="9"/>
        <color rgb="FF808080"/>
        <rFont val="Linux Libertine G"/>
        <family val="2"/>
      </rPr>
      <t xml:space="preserve">、四顆 </t>
    </r>
    <r>
      <rPr>
        <sz val="9"/>
        <color rgb="FF808080"/>
        <rFont val="Arial"/>
        <family val="2"/>
      </rPr>
      <t>1N4007</t>
    </r>
    <r>
      <rPr>
        <sz val="9"/>
        <color rgb="FF808080"/>
        <rFont val="Linux Libertine G"/>
        <family val="2"/>
      </rPr>
      <t>、</t>
    </r>
    <r>
      <rPr>
        <sz val="9"/>
        <color rgb="FF808080"/>
        <rFont val="Arial"/>
        <family val="2"/>
      </rPr>
      <t>R_L = 10 kΩ</t>
    </r>
    <r>
      <rPr>
        <sz val="9"/>
        <color rgb="FF808080"/>
        <rFont val="Linux Libertine G"/>
        <family val="2"/>
      </rPr>
      <t>、</t>
    </r>
    <r>
      <rPr>
        <sz val="9"/>
        <color rgb="FF808080"/>
        <rFont val="Arial"/>
        <family val="2"/>
      </rPr>
      <t>C = 1 µF</t>
    </r>
  </si>
  <si>
    <t>V_drop (V)</t>
  </si>
  <si>
    <r>
      <rPr>
        <b/>
        <sz val="11"/>
        <rFont val="Linux Libertine G"/>
        <family val="2"/>
      </rPr>
      <t xml:space="preserve">整流效率 </t>
    </r>
    <r>
      <rPr>
        <b/>
        <sz val="11"/>
        <rFont val="Arial"/>
        <family val="2"/>
      </rPr>
      <t>η = V_avg² / V_rms²</t>
    </r>
  </si>
  <si>
    <r>
      <rPr>
        <sz val="9"/>
        <color rgb="FF808080"/>
        <rFont val="Linux Libertine G"/>
        <family val="2"/>
      </rPr>
      <t xml:space="preserve">填好第 </t>
    </r>
    <r>
      <rPr>
        <sz val="9"/>
        <color rgb="FF808080"/>
        <rFont val="Arial"/>
        <family val="2"/>
      </rPr>
      <t xml:space="preserve">9 </t>
    </r>
    <r>
      <rPr>
        <sz val="9"/>
        <color rgb="FF808080"/>
        <rFont val="Linux Libertine G"/>
        <family val="2"/>
      </rPr>
      <t xml:space="preserve">列的 </t>
    </r>
    <r>
      <rPr>
        <sz val="9"/>
        <color rgb="FF808080"/>
        <rFont val="Arial"/>
        <family val="2"/>
      </rPr>
      <t xml:space="preserve">V_avg </t>
    </r>
    <r>
      <rPr>
        <sz val="9"/>
        <color rgb="FF808080"/>
        <rFont val="Linux Libertine G"/>
        <family val="2"/>
      </rPr>
      <t xml:space="preserve">與第 </t>
    </r>
    <r>
      <rPr>
        <sz val="9"/>
        <color rgb="FF808080"/>
        <rFont val="Arial"/>
        <family val="2"/>
      </rPr>
      <t xml:space="preserve">8 </t>
    </r>
    <r>
      <rPr>
        <sz val="9"/>
        <color rgb="FF808080"/>
        <rFont val="Linux Libertine G"/>
        <family val="2"/>
      </rPr>
      <t xml:space="preserve">列的 </t>
    </r>
    <r>
      <rPr>
        <sz val="9"/>
        <color rgb="FF808080"/>
        <rFont val="Arial"/>
        <family val="2"/>
      </rPr>
      <t xml:space="preserve">V_rms </t>
    </r>
    <r>
      <rPr>
        <sz val="9"/>
        <color rgb="FF808080"/>
        <rFont val="Linux Libertine G"/>
        <family val="2"/>
      </rPr>
      <t xml:space="preserve">就會自己算；理想全波上限 </t>
    </r>
    <r>
      <rPr>
        <sz val="9"/>
        <color rgb="FF808080"/>
        <rFont val="Arial"/>
        <family val="2"/>
      </rPr>
      <t>8/π² = 81.1%</t>
    </r>
  </si>
  <si>
    <r>
      <rPr>
        <b/>
        <sz val="11"/>
        <rFont val="Linux Libertine G"/>
        <family val="2"/>
      </rPr>
      <t xml:space="preserve">漣波比 </t>
    </r>
    <r>
      <rPr>
        <b/>
        <sz val="11"/>
        <rFont val="Arial"/>
        <family val="2"/>
      </rPr>
      <t>V_R / V_p</t>
    </r>
    <r>
      <rPr>
        <b/>
        <sz val="11"/>
        <rFont val="Linux Libertine G"/>
        <family val="2"/>
      </rPr>
      <t xml:space="preserve">（加 </t>
    </r>
    <r>
      <rPr>
        <b/>
        <sz val="11"/>
        <rFont val="Arial"/>
        <family val="2"/>
      </rPr>
      <t>1 µF</t>
    </r>
    <r>
      <rPr>
        <b/>
        <sz val="11"/>
        <rFont val="Linux Libertine G"/>
        <family val="2"/>
      </rPr>
      <t>）</t>
    </r>
  </si>
  <si>
    <r>
      <rPr>
        <sz val="9"/>
        <color rgb="FF808080"/>
        <rFont val="Linux Libertine G"/>
        <family val="2"/>
      </rPr>
      <t xml:space="preserve">講義要記的 </t>
    </r>
    <r>
      <rPr>
        <sz val="9"/>
        <color rgb="FF808080"/>
        <rFont val="Arial"/>
        <family val="2"/>
      </rPr>
      <t xml:space="preserve">Ratio </t>
    </r>
    <r>
      <rPr>
        <sz val="9"/>
        <color rgb="FF808080"/>
        <rFont val="Linux Libertine G"/>
        <family val="2"/>
      </rPr>
      <t xml:space="preserve">欄＝第 </t>
    </r>
    <r>
      <rPr>
        <sz val="9"/>
        <color rgb="FF808080"/>
        <rFont val="Arial"/>
        <family val="2"/>
      </rPr>
      <t xml:space="preserve">11 </t>
    </r>
    <r>
      <rPr>
        <sz val="9"/>
        <color rgb="FF808080"/>
        <rFont val="Linux Libertine G"/>
        <family val="2"/>
      </rPr>
      <t xml:space="preserve">列 </t>
    </r>
    <r>
      <rPr>
        <sz val="9"/>
        <color rgb="FF808080"/>
        <rFont val="Arial"/>
        <family val="2"/>
      </rPr>
      <t xml:space="preserve">÷ </t>
    </r>
    <r>
      <rPr>
        <sz val="9"/>
        <color rgb="FF808080"/>
        <rFont val="Linux Libertine G"/>
        <family val="2"/>
      </rPr>
      <t xml:space="preserve">第 </t>
    </r>
    <r>
      <rPr>
        <sz val="9"/>
        <color rgb="FF808080"/>
        <rFont val="Arial"/>
        <family val="2"/>
      </rPr>
      <t xml:space="preserve">10 </t>
    </r>
    <r>
      <rPr>
        <sz val="9"/>
        <color rgb="FF808080"/>
        <rFont val="Linux Libertine G"/>
        <family val="2"/>
      </rPr>
      <t xml:space="preserve">列；設計準則 </t>
    </r>
    <r>
      <rPr>
        <sz val="9"/>
        <color rgb="FF808080"/>
        <rFont val="Arial"/>
        <family val="2"/>
      </rPr>
      <t>5–10%</t>
    </r>
    <r>
      <rPr>
        <sz val="9"/>
        <color rgb="FF808080"/>
        <rFont val="Linux Libertine G"/>
        <family val="2"/>
      </rPr>
      <t>，</t>
    </r>
    <r>
      <rPr>
        <sz val="9"/>
        <color rgb="FF808080"/>
        <rFont val="Arial"/>
        <family val="2"/>
      </rPr>
      <t xml:space="preserve">1 µF </t>
    </r>
    <r>
      <rPr>
        <sz val="9"/>
        <color rgb="FF808080"/>
        <rFont val="Linux Libertine G"/>
        <family val="2"/>
      </rPr>
      <t>遠遠不夠</t>
    </r>
  </si>
  <si>
    <r>
      <rPr>
        <sz val="9"/>
        <color rgb="FF808080"/>
        <rFont val="Linux Libertine G"/>
        <family val="2"/>
      </rPr>
      <t xml:space="preserve">預報欄來自 </t>
    </r>
    <r>
      <rPr>
        <sz val="9"/>
        <color rgb="FF808080"/>
        <rFont val="Arial"/>
        <family val="2"/>
      </rPr>
      <t xml:space="preserve">lab1-exp4-bridge.raw </t>
    </r>
    <r>
      <rPr>
        <sz val="9"/>
        <color rgb="FF808080"/>
        <rFont val="Linux Libertine G"/>
        <family val="2"/>
      </rPr>
      <t xml:space="preserve">與 </t>
    </r>
    <r>
      <rPr>
        <sz val="9"/>
        <color rgb="FF808080"/>
        <rFont val="Arial"/>
        <family val="2"/>
      </rPr>
      <t>lab1-exp4-bridge-rc.raw</t>
    </r>
    <r>
      <rPr>
        <sz val="9"/>
        <color rgb="FF808080"/>
        <rFont val="Linux Libertine G"/>
        <family val="2"/>
      </rPr>
      <t xml:space="preserve">。齊納那一版的 </t>
    </r>
    <r>
      <rPr>
        <sz val="9"/>
        <color rgb="FF808080"/>
        <rFont val="Arial"/>
        <family val="2"/>
      </rPr>
      <t xml:space="preserve">LTspice </t>
    </r>
    <r>
      <rPr>
        <sz val="9"/>
        <color rgb="FF808080"/>
        <rFont val="Linux Libertine G"/>
        <family val="2"/>
      </rPr>
      <t xml:space="preserve">檔用的是講義第 </t>
    </r>
    <r>
      <rPr>
        <sz val="9"/>
        <color rgb="FF808080"/>
        <rFont val="Arial"/>
        <family val="2"/>
      </rPr>
      <t xml:space="preserve">24 </t>
    </r>
    <r>
      <rPr>
        <sz val="9"/>
        <color rgb="FF808080"/>
        <rFont val="Linux Libertine G"/>
        <family val="2"/>
      </rPr>
      <t>頁的概念電路（</t>
    </r>
    <r>
      <rPr>
        <sz val="9"/>
        <color rgb="FF808080"/>
        <rFont val="Arial"/>
        <family val="2"/>
      </rPr>
      <t>±10 V</t>
    </r>
    <r>
      <rPr>
        <sz val="9"/>
        <color rgb="FF808080"/>
        <rFont val="Linux Libertine G"/>
        <family val="2"/>
      </rPr>
      <t>、</t>
    </r>
    <r>
      <rPr>
        <sz val="9"/>
        <color rgb="FF808080"/>
        <rFont val="Arial"/>
        <family val="2"/>
      </rPr>
      <t>V_Z = 6.8 V</t>
    </r>
    <r>
      <rPr>
        <sz val="9"/>
        <color rgb="FF808080"/>
        <rFont val="Linux Libertine G"/>
        <family val="2"/>
      </rPr>
      <t xml:space="preserve">），和第 </t>
    </r>
    <r>
      <rPr>
        <sz val="9"/>
        <color rgb="FF808080"/>
        <rFont val="Arial"/>
        <family val="2"/>
      </rPr>
      <t xml:space="preserve">27 </t>
    </r>
    <r>
      <rPr>
        <sz val="9"/>
        <color rgb="FF808080"/>
        <rFont val="Linux Libertine G"/>
        <family val="2"/>
      </rPr>
      <t xml:space="preserve">頁的 </t>
    </r>
    <r>
      <rPr>
        <sz val="9"/>
        <color rgb="FF808080"/>
        <rFont val="Arial"/>
        <family val="2"/>
      </rPr>
      <t xml:space="preserve">5 Vpp </t>
    </r>
    <r>
      <rPr>
        <sz val="9"/>
        <color rgb="FF808080"/>
        <rFont val="Linux Libertine G"/>
        <family val="2"/>
      </rPr>
      <t>條件不同，所以不拿它當預報值。</t>
    </r>
  </si>
  <si>
    <r>
      <rPr>
        <sz val="11"/>
        <rFont val="Linux Libertine G"/>
        <family val="2"/>
      </rPr>
      <t xml:space="preserve">示波器畫面 </t>
    </r>
    <r>
      <rPr>
        <sz val="11"/>
        <rFont val="Arial"/>
        <family val="2"/>
      </rPr>
      <t xml:space="preserve">3 </t>
    </r>
    <r>
      <rPr>
        <sz val="11"/>
        <rFont val="Linux Libertine G"/>
        <family val="2"/>
      </rPr>
      <t>張</t>
    </r>
  </si>
  <si>
    <r>
      <rPr>
        <sz val="9"/>
        <color rgb="FF808080"/>
        <rFont val="Linux Libertine G"/>
        <family val="2"/>
      </rPr>
      <t xml:space="preserve">無 </t>
    </r>
    <r>
      <rPr>
        <sz val="9"/>
        <color rgb="FF808080"/>
        <rFont val="Arial"/>
        <family val="2"/>
      </rPr>
      <t>C</t>
    </r>
    <r>
      <rPr>
        <sz val="9"/>
        <color rgb="FF808080"/>
        <rFont val="Linux Libertine G"/>
        <family val="2"/>
      </rPr>
      <t xml:space="preserve">、加 </t>
    </r>
    <r>
      <rPr>
        <sz val="9"/>
        <color rgb="FF808080"/>
        <rFont val="Arial"/>
        <family val="2"/>
      </rPr>
      <t>1 µF</t>
    </r>
    <r>
      <rPr>
        <sz val="9"/>
        <color rgb="FF808080"/>
        <rFont val="Linux Libertine G"/>
        <family val="2"/>
      </rPr>
      <t>、加齊納各一張；</t>
    </r>
    <r>
      <rPr>
        <sz val="9"/>
        <color rgb="FF808080"/>
        <rFont val="Arial"/>
        <family val="2"/>
      </rPr>
      <t xml:space="preserve">[Meas] </t>
    </r>
    <r>
      <rPr>
        <sz val="9"/>
        <color rgb="FF808080"/>
        <rFont val="Linux Libertine G"/>
        <family val="2"/>
      </rPr>
      <t xml:space="preserve">讀值入鏡，存 </t>
    </r>
    <r>
      <rPr>
        <sz val="9"/>
        <color rgb="FF808080"/>
        <rFont val="Arial"/>
        <family val="2"/>
      </rPr>
      <t>USB</t>
    </r>
  </si>
  <si>
    <r>
      <rPr>
        <sz val="11"/>
        <rFont val="Linux Libertine G"/>
        <family val="2"/>
      </rPr>
      <t xml:space="preserve">示波器地夾位置 </t>
    </r>
    <r>
      <rPr>
        <sz val="11"/>
        <rFont val="Arial"/>
        <family val="2"/>
      </rPr>
      <t xml:space="preserve">1 </t>
    </r>
    <r>
      <rPr>
        <sz val="11"/>
        <rFont val="Linux Libertine G"/>
        <family val="2"/>
      </rPr>
      <t>張</t>
    </r>
  </si>
  <si>
    <r>
      <rPr>
        <sz val="9"/>
        <color rgb="FF808080"/>
        <rFont val="Linux Libertine G"/>
        <family val="2"/>
      </rPr>
      <t xml:space="preserve">地夾只夾 </t>
    </r>
    <r>
      <rPr>
        <sz val="9"/>
        <color rgb="FF808080"/>
        <rFont val="Arial"/>
        <family val="2"/>
      </rPr>
      <t xml:space="preserve">N </t>
    </r>
    <r>
      <rPr>
        <sz val="9"/>
        <color rgb="FF808080"/>
        <rFont val="Linux Libertine G"/>
        <family val="2"/>
      </rPr>
      <t xml:space="preserve">或只夾 </t>
    </r>
    <r>
      <rPr>
        <sz val="9"/>
        <color rgb="FF808080"/>
        <rFont val="Arial"/>
        <family val="2"/>
      </rPr>
      <t>B</t>
    </r>
    <r>
      <rPr>
        <sz val="9"/>
        <color rgb="FF808080"/>
        <rFont val="Linux Libertine G"/>
        <family val="2"/>
      </rPr>
      <t>，不可同時跨輸入與輸出（接地陷阱）</t>
    </r>
  </si>
  <si>
    <r>
      <rPr>
        <sz val="11"/>
        <rFont val="Linux Libertine G"/>
        <family val="2"/>
      </rPr>
      <t xml:space="preserve">麵包板全景照 </t>
    </r>
    <r>
      <rPr>
        <sz val="11"/>
        <rFont val="Arial"/>
        <family val="2"/>
      </rPr>
      <t xml:space="preserve">3 </t>
    </r>
    <r>
      <rPr>
        <sz val="11"/>
        <rFont val="Linux Libertine G"/>
        <family val="2"/>
      </rPr>
      <t>張</t>
    </r>
  </si>
  <si>
    <t>三個版本各一張，四顆二極體的色環方向要看得清楚</t>
  </si>
  <si>
    <t>記錄表四個區段填滿</t>
  </si>
  <si>
    <r>
      <rPr>
        <sz val="9"/>
        <color rgb="FF808080"/>
        <rFont val="Arial"/>
        <family val="2"/>
      </rPr>
      <t xml:space="preserve">V_avg </t>
    </r>
    <r>
      <rPr>
        <sz val="9"/>
        <color rgb="FF808080"/>
        <rFont val="Linux Libertine G"/>
        <family val="2"/>
      </rPr>
      <t xml:space="preserve">欄不要留空；齊納沒導通就照實記 </t>
    </r>
    <r>
      <rPr>
        <sz val="9"/>
        <color rgb="FF808080"/>
        <rFont val="Arial"/>
        <family val="2"/>
      </rPr>
      <t>V_drop</t>
    </r>
  </si>
  <si>
    <r>
      <rPr>
        <b/>
        <sz val="24"/>
        <rFont val="Linux Libertine G"/>
        <family val="2"/>
      </rPr>
      <t>實驗一：順偏導通電壓（</t>
    </r>
    <r>
      <rPr>
        <b/>
        <sz val="24"/>
        <rFont val="Arial"/>
        <family val="2"/>
      </rPr>
      <t>Forward Bias: Knee Voltage</t>
    </r>
    <r>
      <rPr>
        <b/>
        <sz val="24"/>
        <rFont val="Linux Libertine G"/>
        <family val="2"/>
      </rPr>
      <t>）</t>
    </r>
  </si>
  <si>
    <r>
      <rPr>
        <b/>
        <sz val="24"/>
        <rFont val="Linux Libertine G"/>
        <family val="2"/>
      </rPr>
      <t>實驗二：逆偏（</t>
    </r>
    <r>
      <rPr>
        <b/>
        <sz val="24"/>
        <rFont val="Arial"/>
        <family val="2"/>
      </rPr>
      <t>Reverse Bias</t>
    </r>
    <r>
      <rPr>
        <b/>
        <sz val="24"/>
        <rFont val="Linux Libertine G"/>
        <family val="2"/>
      </rPr>
      <t>）</t>
    </r>
  </si>
  <si>
    <r>
      <rPr>
        <b/>
        <sz val="24"/>
        <rFont val="Linux Libertine G"/>
        <family val="2"/>
      </rPr>
      <t>實驗三：半波整流器（</t>
    </r>
    <r>
      <rPr>
        <b/>
        <sz val="24"/>
        <rFont val="Arial"/>
        <family val="2"/>
      </rPr>
      <t>Half-wave Rectifier</t>
    </r>
    <r>
      <rPr>
        <b/>
        <sz val="24"/>
        <rFont val="Linux Libertine G"/>
        <family val="2"/>
      </rPr>
      <t>）</t>
    </r>
  </si>
  <si>
    <r>
      <rPr>
        <b/>
        <sz val="24"/>
        <rFont val="Linux Libertine G"/>
        <family val="2"/>
      </rPr>
      <t>實驗四：全波橋式整流器與齊納穩壓（</t>
    </r>
    <r>
      <rPr>
        <b/>
        <sz val="24"/>
        <rFont val="Arial"/>
        <family val="2"/>
      </rPr>
      <t>Full-wave Bridge / Zener</t>
    </r>
    <r>
      <rPr>
        <b/>
        <sz val="24"/>
        <rFont val="Linux Libertine G"/>
        <family val="2"/>
      </rPr>
      <t>）</t>
    </r>
  </si>
  <si>
    <r>
      <t xml:space="preserve">Lab 1 </t>
    </r>
    <r>
      <rPr>
        <b/>
        <sz val="24"/>
        <rFont val="Linux Libertine G"/>
        <family val="2"/>
      </rPr>
      <t>二極體實驗　數據記錄簿</t>
    </r>
  </si>
  <si>
    <t>第 3 步：無電容。[Meas] 來源 CH1（夾 Vin）→ Maximum。10 Vpp 正弦應接近 5 V</t>
  </si>
  <si>
    <t>第 3 步：同上，[Meas] 來源 CH1 → AC RMS。應接近 5/√2 = 3.54 V</t>
  </si>
  <si>
    <t>第 4 步：無電容。[Meas] 來源 CH2（夾 Vout）→ Maximum。比輸入峰值少約一個二極體壓降</t>
  </si>
  <si>
    <t>第 4 步：[Meas] 來源 CH2 → DC RMS（半波有直流成分，不能選 AC RMS）。理想半波 V_p/2</t>
  </si>
  <si>
    <t>第 4 步：[Meas] 來源 CH2 → 平均值（Mean／Average）。效率靠這格算，不要留空。理想半波 V_p/π</t>
  </si>
  <si>
    <t>第 7 步：並上 1 µF 後。[Meas] 來源 CH2 → Maximum。峰值幾乎不變，變的是谷底</t>
  </si>
  <si>
    <t>第 7 步：[Meas] 來源 CH2 → DC RMS。加了電容就不是理想半波，V_p/2 不適用，理想欄留空</t>
  </si>
  <si>
    <t>第 7 步：[Meas] 來源 CH2 → 平均值。漣波越小這一格越靠近 V_peak</t>
  </si>
  <si>
    <t>第 7 步：[Meas] 來源 CH2 → Vpp（峰-峰值就是峰谷差）。線性近似 V_p/(R·C·f) 在 1 µF 已失效，理想欄僅供對照</t>
  </si>
  <si>
    <t>量測順序（照著做，每一步抄到哪一列都寫在後面）</t>
  </si>
  <si>
    <t>第 1 步</t>
  </si>
  <si>
    <t>接第 18 頁電路（先不要接電容）：訊號產生器設正弦、60 Hz、10 Vpp；二極體 1N4007 色環那端接 10 kΩ，電阻另一端接地。</t>
  </si>
  <si>
    <t>第 2 步</t>
  </si>
  <si>
    <t>探棒：CH1 尖端夾 Vin（二極體前、訊號產生器那側），CH2 尖端夾 Vout（二極體後、電阻上端），兩支地夾都夾在接地那條線。按 [Auto Scale]。</t>
  </si>
  <si>
    <t>第 3 步</t>
  </si>
  <si>
    <t>按 [Meas]，來源選 CH1：Maximum 抄到「V_in V_peak」、AC RMS 抄到「V_in V_rms」。</t>
  </si>
  <si>
    <t>第 4 步</t>
  </si>
  <si>
    <t>來源改 CH2：Maximum → 「V_out (no C) V_peak」、DC RMS → 「V_out (no C) V_rms」、平均值 → 「V_out (no C) V_avg」。畫面應只剩正半週。</t>
  </si>
  <si>
    <t>第 5 步</t>
  </si>
  <si>
    <t>[Save/Recall] 把畫面存到 USB，拍麵包板全景。效率（無 C）那格會自己算出來，應落在 40% 以下。</t>
  </si>
  <si>
    <t>第 6 步</t>
  </si>
  <si>
    <t>把 1 µF 電容並在 10 kΩ 兩端（第 20 頁）；電解電容長腳接 Vout、短腳接地。波形變成鋸齒狀。</t>
  </si>
  <si>
    <t>第 7 步</t>
  </si>
  <si>
    <t>[Meas] 來源 CH2：Maximum → 「V_out (C = 1 µF) V_peak」、DC RMS → V_rms、平均值 → V_avg、Vpp（峰-峰值）→ 「漣波 V_R」。</t>
  </si>
  <si>
    <t>第 8 步</t>
  </si>
  <si>
    <t>再存一次畫面、再拍一張麵包板。檢查表打勾，下課前上傳 E3。</t>
  </si>
  <si>
    <t>第 2 步：無電容。CH1 尖端夾 A、地夾夾 B，[Meas] Maximum。5 Vpp 正弦應接近 2.5 V。量完先拆掉，不可和 Vout 同時接</t>
  </si>
  <si>
    <t>第 2 步：同上，[Meas] 來源 CH1 → AC RMS。應接近 2.5/√2 = 1.77 V</t>
  </si>
  <si>
    <t>第 3 步：無電容。CH2 尖端夾 P、地夾夾 N，[Meas] Maximum。理想 = 2.5 − 2×0.7（電流經過兩顆二極體）</t>
  </si>
  <si>
    <t>第 3 步：[Meas] 來源 CH2 → DC RMS。理想全波 V_p′/√2（V_p′ 取理想輸出峰值 1.1 V）</t>
  </si>
  <si>
    <t>第 3 步：[Meas] 來源 CH2 → 平均值。效率靠這格算，不要留空。理想全波 2V_p′/π</t>
  </si>
  <si>
    <t>第 5 步：並上 1 µF 後。[Meas] 來源 CH2 → Maximum。Tinkercad 跑不動這一版，以示波器為準</t>
  </si>
  <si>
    <t>第 5 步：[Meas] 來源 CH2 → Vpp（峰-峰值就是峰谷差）。理想 V_p′/(2·R_L·C·f)</t>
  </si>
  <si>
    <t>第 6 步：拆掉電容、並上齊納後。[Meas] 來源 CH2 → Maximum。5 Vpp 下輸出峰值只有約 1.5 V，低於常見 V_Z，齊納多半不會導通</t>
  </si>
  <si>
    <t>第 6 步：講義要記的「V_in &lt; V_Z 期間的落差」。齊納沒導通就沒有削平，照實記錄觀察到的值</t>
  </si>
  <si>
    <t>接第 25 頁橋式電路（先不要接電容與齊納）：訊號產生器設正弦、60 Hz、5 Vpp；四顆 1N4007 的方向照 KiCad 圖，兩顆陰極併成 P（輸出 +）、兩顆陽極併成 N（輸出 −，接地）。</t>
  </si>
  <si>
    <t>接地陷阱：示波器兩支地夾不可同時夾 B 與 N。先只量 Vin：CH1 尖端夾 A、地夾夾 B，[Meas] Maximum → 「V_in V_peak」、AC RMS → 「V_in V_rms」，存畫面後拆掉。</t>
  </si>
  <si>
    <t>再量 Vout：CH2 尖端夾 P、地夾夾 N。[Meas] Maximum → 「V_out (no C) V_peak」、DC RMS → V_rms、平均值 → V_avg。畫面應是每半週都翻正的全波。</t>
  </si>
  <si>
    <t>存畫面、拍麵包板。效率那格自動算，理想全波上限 81%。</t>
  </si>
  <si>
    <t>把 1 µF 電容並在 P、N 之間（第 26 頁）。[Meas] 來源 CH2：Maximum → 「V_out (C = 1 µF) V_peak」、Vpp → 「漣波 V_R」。漣波比那格自動算。存畫面、拍麵包板。</t>
  </si>
  <si>
    <t>拆掉電容，把齊納二極體並在 P、N 之間（第 27 頁，色環端接 P）。[Meas] Maximum → 「V_out (Zener) V_peak」；觀察 Vin 低於 V_Z 時輸出掉多少記到 V_drop。5 Vpp 下齊納多半不會導通，照實記。</t>
  </si>
  <si>
    <t>存畫面、拍麵包板。檢查表打勾，下課前上傳 E3。</t>
  </si>
  <si>
    <r>
      <rPr>
        <sz val="11"/>
        <color theme="1"/>
        <rFont val="Microsoft JhengHei"/>
        <family val="2"/>
      </rPr>
      <t>用並聯直接去量</t>
    </r>
    <r>
      <rPr>
        <sz val="11"/>
        <color theme="1"/>
        <rFont val="Arial"/>
        <family val="2"/>
      </rPr>
      <t xml:space="preserve">V V=IR </t>
    </r>
    <r>
      <rPr>
        <sz val="11"/>
        <color theme="1"/>
        <rFont val="Microsoft JhengHei"/>
        <family val="2"/>
        <charset val="136"/>
      </rPr>
      <t>求</t>
    </r>
    <r>
      <rPr>
        <sz val="11"/>
        <color theme="1"/>
        <rFont val="Arial"/>
        <family val="2"/>
      </rPr>
      <t>I</t>
    </r>
    <phoneticPr fontId="8" type="noConversion"/>
  </si>
  <si>
    <t>V</t>
    <phoneticPr fontId="8" type="noConversion"/>
  </si>
  <si>
    <t>R</t>
    <phoneticPr fontId="8" type="noConversion"/>
  </si>
  <si>
    <t>I</t>
    <phoneticPr fontId="8" type="noConversion"/>
  </si>
  <si>
    <t>V_in</t>
  </si>
  <si>
    <t>V_out (no C, p.18)</t>
  </si>
  <si>
    <t>V_out (C = 1 µF, p.20)</t>
  </si>
  <si>
    <t>V_in (A–B)</t>
  </si>
  <si>
    <t>V_out (no C, p.25)</t>
  </si>
  <si>
    <t>V_out (C = 1 µF, p.26)</t>
  </si>
  <si>
    <t>V_out (Zener, p.27)</t>
  </si>
  <si>
    <t>v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</si>
</sst>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0.0%"/>
    <numFmt numFmtId="179" formatCode="0.00000"/>
  </numFmts>
  <fonts count="17">
    <font>
      <sz val="11"/>
      <color theme="1"/>
      <name val="Arial"/>
      <family val="2"/>
    </font>
    <font>
      <sz val="9"/>
      <color rgb="FF808080"/>
      <name val="Arial"/>
      <family val="2"/>
    </font>
    <font>
      <sz val="9"/>
      <color rgb="FF80808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sz val="9"/>
      <name val="BiauKaiHK Regular"/>
      <family val="4"/>
      <charset val="136"/>
    </font>
    <font>
      <b/>
      <sz val="24"/>
      <name val="Arial"/>
      <family val="2"/>
    </font>
    <font>
      <sz val="24"/>
      <color theme="1"/>
      <name val="Arial"/>
      <family val="2"/>
    </font>
    <font>
      <sz val="9"/>
      <color rgb="FF808080"/>
      <name val="Linux Libertine G"/>
      <family val="2"/>
    </font>
    <font>
      <sz val="11"/>
      <name val="Linux Libertine G"/>
      <family val="2"/>
    </font>
    <font>
      <b/>
      <sz val="11"/>
      <name val="Linux Libertine G"/>
      <family val="2"/>
    </font>
    <font>
      <b/>
      <sz val="24"/>
      <name val="Linux Libertine G"/>
      <family val="2"/>
    </font>
    <font>
      <sz val="11"/>
      <color theme="1"/>
      <name val="Microsoft JhengHei"/>
      <family val="2"/>
    </font>
    <font>
      <sz val="11"/>
      <color theme="1"/>
      <name val="Microsoft JhengHe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FFF2CC"/>
        <bgColor rgb="FFF9F9F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7" fillId="0" borderId="1" xfId="0" applyNumberFormat="1" applyFont="1" applyBorder="1"/>
    <xf numFmtId="177" fontId="5" fillId="3" borderId="1" xfId="0" applyNumberFormat="1" applyFont="1" applyFill="1" applyBorder="1"/>
    <xf numFmtId="177" fontId="5" fillId="0" borderId="1" xfId="0" applyNumberFormat="1" applyFont="1" applyBorder="1"/>
    <xf numFmtId="178" fontId="5" fillId="0" borderId="1" xfId="0" applyNumberFormat="1" applyFont="1" applyBorder="1"/>
    <xf numFmtId="1" fontId="7" fillId="0" borderId="1" xfId="0" applyNumberFormat="1" applyFont="1" applyBorder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6" fillId="0" borderId="0" xfId="0" applyFont="1"/>
    <xf numFmtId="176" fontId="7" fillId="0" borderId="1" xfId="0" applyNumberFormat="1" applyFont="1" applyBorder="1" applyAlignment="1">
      <alignment horizontal="center"/>
    </xf>
    <xf numFmtId="177" fontId="5" fillId="3" borderId="1" xfId="0" applyNumberFormat="1" applyFont="1" applyFill="1" applyBorder="1" applyAlignment="1">
      <alignment horizontal="center"/>
    </xf>
    <xf numFmtId="177" fontId="5" fillId="0" borderId="1" xfId="0" applyNumberFormat="1" applyFont="1" applyBorder="1" applyAlignment="1">
      <alignment horizontal="center"/>
    </xf>
    <xf numFmtId="178" fontId="5" fillId="0" borderId="1" xfId="0" applyNumberFormat="1" applyFont="1" applyBorder="1" applyAlignment="1">
      <alignment horizontal="center"/>
    </xf>
    <xf numFmtId="177" fontId="7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79" fontId="5" fillId="0" borderId="1" xfId="0" applyNumberFormat="1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178" fontId="7" fillId="0" borderId="1" xfId="0" applyNumberFormat="1" applyFont="1" applyBorder="1" applyAlignment="1">
      <alignment horizontal="center"/>
    </xf>
    <xf numFmtId="0" fontId="10" fillId="0" borderId="0" xfId="0" applyFont="1"/>
    <xf numFmtId="0" fontId="5" fillId="0" borderId="1" xfId="0" applyFont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9" fillId="0" borderId="0" xfId="0" applyFont="1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C0504D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zh-TW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實驗一 </a:t>
            </a: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I-V </a:t>
            </a:r>
            <a:r>
              <a:rPr lang="zh-TW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特性曲線：實測 </a:t>
            </a: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vs LTspice </a:t>
            </a:r>
            <a:r>
              <a:rPr lang="zh-TW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預報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實測（電表）</c:v>
          </c:tx>
          <c:spPr>
            <a:ln w="12600">
              <a:noFill/>
            </a:ln>
          </c:spPr>
          <c:marker>
            <c:symbol val="circle"/>
            <c:size val="7"/>
            <c:spPr>
              <a:solidFill>
                <a:srgbClr val="1F4E7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'實驗一 順偏'!$B$7:$B$26</c:f>
              <c:numCache>
                <c:formatCode>0.000</c:formatCode>
                <c:ptCount val="20"/>
                <c:pt idx="0">
                  <c:v>9.2100000000000001E-2</c:v>
                </c:pt>
                <c:pt idx="1">
                  <c:v>0.21099999999999999</c:v>
                </c:pt>
                <c:pt idx="2">
                  <c:v>0.317</c:v>
                </c:pt>
                <c:pt idx="3">
                  <c:v>0.40600000000000003</c:v>
                </c:pt>
                <c:pt idx="4">
                  <c:v>0.47299999999999998</c:v>
                </c:pt>
                <c:pt idx="5">
                  <c:v>0.48099999999999998</c:v>
                </c:pt>
                <c:pt idx="6">
                  <c:v>0.503</c:v>
                </c:pt>
                <c:pt idx="7">
                  <c:v>0.51800000000000002</c:v>
                </c:pt>
                <c:pt idx="8">
                  <c:v>0.53200000000000003</c:v>
                </c:pt>
                <c:pt idx="9">
                  <c:v>0.54300000000000004</c:v>
                </c:pt>
                <c:pt idx="10">
                  <c:v>0.55100000000000005</c:v>
                </c:pt>
                <c:pt idx="11">
                  <c:v>0.55800000000000005</c:v>
                </c:pt>
                <c:pt idx="12">
                  <c:v>0.56599999999999995</c:v>
                </c:pt>
                <c:pt idx="13">
                  <c:v>0.57199999999999995</c:v>
                </c:pt>
                <c:pt idx="14">
                  <c:v>0.57699999999999996</c:v>
                </c:pt>
                <c:pt idx="15">
                  <c:v>0.58099999999999996</c:v>
                </c:pt>
                <c:pt idx="16">
                  <c:v>0.58599999999999997</c:v>
                </c:pt>
                <c:pt idx="17">
                  <c:v>0.59</c:v>
                </c:pt>
                <c:pt idx="18">
                  <c:v>0.59399999999999997</c:v>
                </c:pt>
                <c:pt idx="19">
                  <c:v>0.59799999999999998</c:v>
                </c:pt>
              </c:numCache>
            </c:numRef>
          </c:xVal>
          <c:yVal>
            <c:numRef>
              <c:f>'實驗一 順偏'!$C$7:$C$26</c:f>
              <c:numCache>
                <c:formatCode>0.000</c:formatCode>
                <c:ptCount val="20"/>
                <c:pt idx="0">
                  <c:v>3.0030030030030029E-4</c:v>
                </c:pt>
                <c:pt idx="1">
                  <c:v>1.9319319319319319E-2</c:v>
                </c:pt>
                <c:pt idx="2">
                  <c:v>2.4124124124124124E-2</c:v>
                </c:pt>
                <c:pt idx="3">
                  <c:v>2.4324324324324322E-2</c:v>
                </c:pt>
                <c:pt idx="4">
                  <c:v>2.832832832832833E-2</c:v>
                </c:pt>
                <c:pt idx="5">
                  <c:v>0.12112112112112111</c:v>
                </c:pt>
                <c:pt idx="6">
                  <c:v>0.21821821821821821</c:v>
                </c:pt>
                <c:pt idx="7">
                  <c:v>0.29029029029029024</c:v>
                </c:pt>
                <c:pt idx="8">
                  <c:v>0.3733733733733734</c:v>
                </c:pt>
                <c:pt idx="9">
                  <c:v>0.46946946946946944</c:v>
                </c:pt>
                <c:pt idx="10">
                  <c:v>0.55055055055055058</c:v>
                </c:pt>
                <c:pt idx="11">
                  <c:v>0.63463463463463465</c:v>
                </c:pt>
                <c:pt idx="12">
                  <c:v>0.73873873873873874</c:v>
                </c:pt>
                <c:pt idx="13">
                  <c:v>0.84484484484484479</c:v>
                </c:pt>
                <c:pt idx="14">
                  <c:v>0.927927927927928</c:v>
                </c:pt>
                <c:pt idx="15">
                  <c:v>1.0110110110110109</c:v>
                </c:pt>
                <c:pt idx="16">
                  <c:v>1.1111111111111112</c:v>
                </c:pt>
                <c:pt idx="17">
                  <c:v>1.211211211211211</c:v>
                </c:pt>
                <c:pt idx="18">
                  <c:v>1.3203203203203202</c:v>
                </c:pt>
                <c:pt idx="19">
                  <c:v>1.4204204204204205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55-2E44-B0A4-936C89872723}"/>
            </c:ext>
          </c:extLst>
        </c:ser>
        <c:ser>
          <c:idx val="1"/>
          <c:order val="1"/>
          <c:tx>
            <c:v>LTspice 1N4007（預報）</c:v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'實驗一 順偏'!$G$7:$G$26</c:f>
              <c:numCache>
                <c:formatCode>0.000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0.29959999999999998</c:v>
                </c:pt>
                <c:pt idx="3">
                  <c:v>0.39510000000000001</c:v>
                </c:pt>
                <c:pt idx="4">
                  <c:v>0.46550000000000002</c:v>
                </c:pt>
                <c:pt idx="5">
                  <c:v>0.503</c:v>
                </c:pt>
                <c:pt idx="6">
                  <c:v>0.52449999999999997</c:v>
                </c:pt>
                <c:pt idx="7">
                  <c:v>0.53890000000000005</c:v>
                </c:pt>
                <c:pt idx="8">
                  <c:v>0.54949999999999999</c:v>
                </c:pt>
                <c:pt idx="9">
                  <c:v>0.55789999999999995</c:v>
                </c:pt>
                <c:pt idx="10">
                  <c:v>0.56479999999999997</c:v>
                </c:pt>
                <c:pt idx="11">
                  <c:v>0.57069999999999999</c:v>
                </c:pt>
                <c:pt idx="12">
                  <c:v>0.57579999999999998</c:v>
                </c:pt>
                <c:pt idx="13">
                  <c:v>0.58030000000000004</c:v>
                </c:pt>
                <c:pt idx="14">
                  <c:v>0.58430000000000004</c:v>
                </c:pt>
                <c:pt idx="15">
                  <c:v>0.58789999999999998</c:v>
                </c:pt>
                <c:pt idx="16">
                  <c:v>0.59119999999999995</c:v>
                </c:pt>
                <c:pt idx="17">
                  <c:v>0.59430000000000005</c:v>
                </c:pt>
                <c:pt idx="18">
                  <c:v>0.59709999999999996</c:v>
                </c:pt>
                <c:pt idx="19">
                  <c:v>0.59970000000000001</c:v>
                </c:pt>
              </c:numCache>
            </c:numRef>
          </c:xVal>
          <c:yVal>
            <c:numRef>
              <c:f>'實驗一 順偏'!$H$7:$H$26</c:f>
              <c:numCache>
                <c:formatCode>0.000</c:formatCode>
                <c:ptCount val="20"/>
                <c:pt idx="0">
                  <c:v>0</c:v>
                </c:pt>
                <c:pt idx="1">
                  <c:v>2.0000000000000002E-5</c:v>
                </c:pt>
                <c:pt idx="2">
                  <c:v>3.5E-4</c:v>
                </c:pt>
                <c:pt idx="3">
                  <c:v>4.9300000000000004E-3</c:v>
                </c:pt>
                <c:pt idx="4">
                  <c:v>3.4470000000000001E-2</c:v>
                </c:pt>
                <c:pt idx="5">
                  <c:v>9.7009999999999999E-2</c:v>
                </c:pt>
                <c:pt idx="6">
                  <c:v>0.17552999999999999</c:v>
                </c:pt>
                <c:pt idx="7">
                  <c:v>0.26113999999999998</c:v>
                </c:pt>
                <c:pt idx="8">
                  <c:v>0.35048000000000001</c:v>
                </c:pt>
                <c:pt idx="9">
                  <c:v>0.44207000000000002</c:v>
                </c:pt>
                <c:pt idx="10">
                  <c:v>0.53515000000000001</c:v>
                </c:pt>
                <c:pt idx="11">
                  <c:v>0.62927999999999995</c:v>
                </c:pt>
                <c:pt idx="12">
                  <c:v>0.72419</c:v>
                </c:pt>
                <c:pt idx="13">
                  <c:v>0.81969999999999998</c:v>
                </c:pt>
                <c:pt idx="14">
                  <c:v>0.91569</c:v>
                </c:pt>
                <c:pt idx="15">
                  <c:v>1.01206</c:v>
                </c:pt>
                <c:pt idx="16">
                  <c:v>1.1087499999999999</c:v>
                </c:pt>
                <c:pt idx="17">
                  <c:v>1.2057100000000001</c:v>
                </c:pt>
                <c:pt idx="18">
                  <c:v>1.3028999999999999</c:v>
                </c:pt>
                <c:pt idx="19">
                  <c:v>1.40029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55-2E44-B0A4-936C89872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94921"/>
        <c:axId val="16184288"/>
      </c:scatterChart>
      <c:valAx>
        <c:axId val="4059492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V_D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16184288"/>
        <c:crosses val="autoZero"/>
        <c:crossBetween val="midCat"/>
      </c:valAx>
      <c:valAx>
        <c:axId val="16184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 (mA)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40594921"/>
        <c:crosses val="autoZero"/>
        <c:crossBetween val="midCat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zh-TW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實驗一 </a:t>
            </a: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V_D </a:t>
            </a:r>
            <a:r>
              <a:rPr lang="zh-TW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對 </a:t>
            </a: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Vs：</a:t>
            </a:r>
            <a:r>
              <a:rPr lang="zh-TW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過了導通電壓就幾乎不再上升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實測</c:v>
          </c:tx>
          <c:spPr>
            <a:ln w="12600">
              <a:noFill/>
            </a:ln>
          </c:spPr>
          <c:marker>
            <c:symbol val="circle"/>
            <c:size val="7"/>
            <c:spPr>
              <a:solidFill>
                <a:srgbClr val="1F4E7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'實驗一 順偏'!$A$7:$A$26</c:f>
              <c:numCache>
                <c:formatCode>0.0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0.42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xVal>
          <c:yVal>
            <c:numRef>
              <c:f>'實驗一 順偏'!$B$7:$B$26</c:f>
              <c:numCache>
                <c:formatCode>0.000</c:formatCode>
                <c:ptCount val="20"/>
                <c:pt idx="0">
                  <c:v>9.2100000000000001E-2</c:v>
                </c:pt>
                <c:pt idx="1">
                  <c:v>0.21099999999999999</c:v>
                </c:pt>
                <c:pt idx="2">
                  <c:v>0.317</c:v>
                </c:pt>
                <c:pt idx="3">
                  <c:v>0.40600000000000003</c:v>
                </c:pt>
                <c:pt idx="4">
                  <c:v>0.47299999999999998</c:v>
                </c:pt>
                <c:pt idx="5">
                  <c:v>0.48099999999999998</c:v>
                </c:pt>
                <c:pt idx="6">
                  <c:v>0.503</c:v>
                </c:pt>
                <c:pt idx="7">
                  <c:v>0.51800000000000002</c:v>
                </c:pt>
                <c:pt idx="8">
                  <c:v>0.53200000000000003</c:v>
                </c:pt>
                <c:pt idx="9">
                  <c:v>0.54300000000000004</c:v>
                </c:pt>
                <c:pt idx="10">
                  <c:v>0.55100000000000005</c:v>
                </c:pt>
                <c:pt idx="11">
                  <c:v>0.55800000000000005</c:v>
                </c:pt>
                <c:pt idx="12">
                  <c:v>0.56599999999999995</c:v>
                </c:pt>
                <c:pt idx="13">
                  <c:v>0.57199999999999995</c:v>
                </c:pt>
                <c:pt idx="14">
                  <c:v>0.57699999999999996</c:v>
                </c:pt>
                <c:pt idx="15">
                  <c:v>0.58099999999999996</c:v>
                </c:pt>
                <c:pt idx="16">
                  <c:v>0.58599999999999997</c:v>
                </c:pt>
                <c:pt idx="17">
                  <c:v>0.59</c:v>
                </c:pt>
                <c:pt idx="18">
                  <c:v>0.59399999999999997</c:v>
                </c:pt>
                <c:pt idx="19">
                  <c:v>0.59799999999999998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CC-C749-BF4E-E6754FC2882A}"/>
            </c:ext>
          </c:extLst>
        </c:ser>
        <c:ser>
          <c:idx val="1"/>
          <c:order val="1"/>
          <c:tx>
            <c:v>LTspice</c:v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'實驗一 順偏'!$A$7:$A$26</c:f>
              <c:numCache>
                <c:formatCode>0.0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0.42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xVal>
          <c:yVal>
            <c:numRef>
              <c:f>'實驗一 順偏'!$G$7:$G$26</c:f>
              <c:numCache>
                <c:formatCode>0.000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0.29959999999999998</c:v>
                </c:pt>
                <c:pt idx="3">
                  <c:v>0.39510000000000001</c:v>
                </c:pt>
                <c:pt idx="4">
                  <c:v>0.46550000000000002</c:v>
                </c:pt>
                <c:pt idx="5">
                  <c:v>0.503</c:v>
                </c:pt>
                <c:pt idx="6">
                  <c:v>0.52449999999999997</c:v>
                </c:pt>
                <c:pt idx="7">
                  <c:v>0.53890000000000005</c:v>
                </c:pt>
                <c:pt idx="8">
                  <c:v>0.54949999999999999</c:v>
                </c:pt>
                <c:pt idx="9">
                  <c:v>0.55789999999999995</c:v>
                </c:pt>
                <c:pt idx="10">
                  <c:v>0.56479999999999997</c:v>
                </c:pt>
                <c:pt idx="11">
                  <c:v>0.57069999999999999</c:v>
                </c:pt>
                <c:pt idx="12">
                  <c:v>0.57579999999999998</c:v>
                </c:pt>
                <c:pt idx="13">
                  <c:v>0.58030000000000004</c:v>
                </c:pt>
                <c:pt idx="14">
                  <c:v>0.58430000000000004</c:v>
                </c:pt>
                <c:pt idx="15">
                  <c:v>0.58789999999999998</c:v>
                </c:pt>
                <c:pt idx="16">
                  <c:v>0.59119999999999995</c:v>
                </c:pt>
                <c:pt idx="17">
                  <c:v>0.59430000000000005</c:v>
                </c:pt>
                <c:pt idx="18">
                  <c:v>0.59709999999999996</c:v>
                </c:pt>
                <c:pt idx="19">
                  <c:v>0.59970000000000001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CC-C749-BF4E-E6754FC28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8922"/>
        <c:axId val="21328130"/>
      </c:scatterChart>
      <c:valAx>
        <c:axId val="2100892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Vs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21328130"/>
        <c:crosses val="autoZero"/>
        <c:crossBetween val="midCat"/>
      </c:valAx>
      <c:valAx>
        <c:axId val="213281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V_D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21008922"/>
        <c:crosses val="autoZero"/>
        <c:crossBetween val="midCat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zh-TW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實驗二 </a:t>
            </a: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V_D </a:t>
            </a:r>
            <a:r>
              <a:rPr lang="zh-TW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對 </a:t>
            </a: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Vs：</a:t>
            </a:r>
            <a:r>
              <a:rPr lang="zh-TW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逆偏時 </a:t>
            </a: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V_D </a:t>
            </a:r>
            <a:r>
              <a:rPr lang="zh-TW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幾乎等於 </a:t>
            </a: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Vs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實測</c:v>
          </c:tx>
          <c:spPr>
            <a:ln w="12600">
              <a:noFill/>
            </a:ln>
          </c:spPr>
          <c:marker>
            <c:symbol val="circle"/>
            <c:size val="7"/>
            <c:spPr>
              <a:solidFill>
                <a:srgbClr val="1F4E7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'實驗二 逆偏'!$A$7:$A$26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'實驗二 逆偏'!$B$7:$B$26</c:f>
              <c:numCache>
                <c:formatCode>0.000</c:formatCode>
                <c:ptCount val="20"/>
                <c:pt idx="0">
                  <c:v>1</c:v>
                </c:pt>
                <c:pt idx="1">
                  <c:v>2.0059999999999998</c:v>
                </c:pt>
                <c:pt idx="2">
                  <c:v>3.0059999999999998</c:v>
                </c:pt>
                <c:pt idx="3">
                  <c:v>4.0289999999999999</c:v>
                </c:pt>
                <c:pt idx="4">
                  <c:v>5.0179999999999998</c:v>
                </c:pt>
                <c:pt idx="5">
                  <c:v>6.0119999999999996</c:v>
                </c:pt>
                <c:pt idx="6">
                  <c:v>7.0339999999999998</c:v>
                </c:pt>
                <c:pt idx="7">
                  <c:v>8.0449999999999999</c:v>
                </c:pt>
                <c:pt idx="8">
                  <c:v>9.0340000000000007</c:v>
                </c:pt>
                <c:pt idx="9">
                  <c:v>10.029999999999999</c:v>
                </c:pt>
                <c:pt idx="10">
                  <c:v>11.035</c:v>
                </c:pt>
                <c:pt idx="11">
                  <c:v>12.077999999999999</c:v>
                </c:pt>
                <c:pt idx="12">
                  <c:v>13.037000000000001</c:v>
                </c:pt>
                <c:pt idx="13">
                  <c:v>14.089</c:v>
                </c:pt>
                <c:pt idx="14">
                  <c:v>15.028</c:v>
                </c:pt>
                <c:pt idx="15">
                  <c:v>16.029</c:v>
                </c:pt>
                <c:pt idx="16">
                  <c:v>17.087</c:v>
                </c:pt>
                <c:pt idx="17">
                  <c:v>18.077999999999999</c:v>
                </c:pt>
                <c:pt idx="18">
                  <c:v>19.027000000000001</c:v>
                </c:pt>
                <c:pt idx="19">
                  <c:v>20.077999999999999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44-4A4C-8C2A-5735172A997F}"/>
            </c:ext>
          </c:extLst>
        </c:ser>
        <c:ser>
          <c:idx val="1"/>
          <c:order val="1"/>
          <c:tx>
            <c:v>LTspice</c:v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'實驗二 逆偏'!$A$7:$A$26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'實驗二 逆偏'!$E$7:$E$26</c:f>
              <c:numCache>
                <c:formatCode>0.000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44-4A4C-8C2A-5735172A9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40100"/>
        <c:axId val="14770157"/>
      </c:scatterChart>
      <c:valAx>
        <c:axId val="2764010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Vs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14770157"/>
        <c:crosses val="autoZero"/>
        <c:crossBetween val="midCat"/>
      </c:valAx>
      <c:valAx>
        <c:axId val="147701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V_D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27640100"/>
        <c:crosses val="autoZero"/>
        <c:crossBetween val="midCat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zh-TW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實驗二 漏電流對 </a:t>
            </a: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Vs：</a:t>
            </a:r>
            <a:r>
              <a:rPr lang="zh-TW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實測、</a:t>
            </a: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LTspice </a:t>
            </a:r>
            <a:r>
              <a:rPr lang="zh-TW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與 </a:t>
            </a: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datasheet </a:t>
            </a:r>
            <a:r>
              <a:rPr lang="zh-TW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上限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實測</c:v>
          </c:tx>
          <c:spPr>
            <a:ln w="12600">
              <a:noFill/>
            </a:ln>
          </c:spPr>
          <c:marker>
            <c:symbol val="circle"/>
            <c:size val="7"/>
            <c:spPr>
              <a:solidFill>
                <a:srgbClr val="1F4E7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'實驗二 逆偏'!$A$7:$A$26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'實驗二 逆偏'!$C$7:$C$26</c:f>
              <c:numCache>
                <c:formatCode>0.000</c:formatCode>
                <c:ptCount val="20"/>
                <c:pt idx="0">
                  <c:v>1.001001001001001E-4</c:v>
                </c:pt>
                <c:pt idx="1">
                  <c:v>2.0020020020020021E-4</c:v>
                </c:pt>
                <c:pt idx="2">
                  <c:v>1.001001001001001E-4</c:v>
                </c:pt>
                <c:pt idx="3">
                  <c:v>1.001001001001001E-4</c:v>
                </c:pt>
                <c:pt idx="4">
                  <c:v>1.001001001001001E-4</c:v>
                </c:pt>
                <c:pt idx="5">
                  <c:v>1.001001001001001E-4</c:v>
                </c:pt>
                <c:pt idx="6">
                  <c:v>9.0090090090090091E-5</c:v>
                </c:pt>
                <c:pt idx="7">
                  <c:v>1.001001001001001E-4</c:v>
                </c:pt>
                <c:pt idx="8">
                  <c:v>1.001001001001001E-4</c:v>
                </c:pt>
                <c:pt idx="9">
                  <c:v>9.0090090090090091E-5</c:v>
                </c:pt>
                <c:pt idx="10">
                  <c:v>9.0090090090090091E-5</c:v>
                </c:pt>
                <c:pt idx="11">
                  <c:v>9.0090090090090091E-5</c:v>
                </c:pt>
                <c:pt idx="12">
                  <c:v>8.0080080080080078E-5</c:v>
                </c:pt>
                <c:pt idx="13">
                  <c:v>8.0080080080080078E-5</c:v>
                </c:pt>
                <c:pt idx="14">
                  <c:v>8.0080080080080078E-5</c:v>
                </c:pt>
                <c:pt idx="15">
                  <c:v>9.0090090090090091E-5</c:v>
                </c:pt>
                <c:pt idx="16">
                  <c:v>8.0080080080080078E-5</c:v>
                </c:pt>
                <c:pt idx="17">
                  <c:v>8.0080080080080078E-5</c:v>
                </c:pt>
                <c:pt idx="18">
                  <c:v>8.0080080080080078E-5</c:v>
                </c:pt>
                <c:pt idx="19">
                  <c:v>1.001001001001001E-4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D4-3A44-BD8F-6D9B9A14870A}"/>
            </c:ext>
          </c:extLst>
        </c:ser>
        <c:ser>
          <c:idx val="1"/>
          <c:order val="1"/>
          <c:tx>
            <c:v>LTspice 1N4007</c:v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'實驗二 逆偏'!$A$7:$A$26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'實驗二 逆偏'!$G$7:$G$26</c:f>
              <c:numCache>
                <c:formatCode>0.00000</c:formatCode>
                <c:ptCount val="20"/>
                <c:pt idx="0">
                  <c:v>9.1000000000000003E-5</c:v>
                </c:pt>
                <c:pt idx="1">
                  <c:v>9.2E-5</c:v>
                </c:pt>
                <c:pt idx="2">
                  <c:v>9.2999999999999997E-5</c:v>
                </c:pt>
                <c:pt idx="3">
                  <c:v>9.3999999999999994E-5</c:v>
                </c:pt>
                <c:pt idx="4">
                  <c:v>9.5000000000000005E-5</c:v>
                </c:pt>
                <c:pt idx="5">
                  <c:v>9.6000000000000002E-5</c:v>
                </c:pt>
                <c:pt idx="6">
                  <c:v>9.7E-5</c:v>
                </c:pt>
                <c:pt idx="7">
                  <c:v>9.800000000000001E-5</c:v>
                </c:pt>
                <c:pt idx="8">
                  <c:v>9.9000000000000008E-5</c:v>
                </c:pt>
                <c:pt idx="9">
                  <c:v>1E-4</c:v>
                </c:pt>
                <c:pt idx="10">
                  <c:v>1.01E-4</c:v>
                </c:pt>
                <c:pt idx="11">
                  <c:v>1.02E-4</c:v>
                </c:pt>
                <c:pt idx="12">
                  <c:v>1.03E-4</c:v>
                </c:pt>
                <c:pt idx="13">
                  <c:v>1.0399999999999999E-4</c:v>
                </c:pt>
                <c:pt idx="14">
                  <c:v>1.0499999999999999E-4</c:v>
                </c:pt>
                <c:pt idx="15">
                  <c:v>1.06E-4</c:v>
                </c:pt>
                <c:pt idx="16">
                  <c:v>1.07E-4</c:v>
                </c:pt>
                <c:pt idx="17">
                  <c:v>1.08E-4</c:v>
                </c:pt>
                <c:pt idx="18">
                  <c:v>1.0899999999999999E-4</c:v>
                </c:pt>
                <c:pt idx="19">
                  <c:v>1.1E-4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D4-3A44-BD8F-6D9B9A14870A}"/>
            </c:ext>
          </c:extLst>
        </c:ser>
        <c:ser>
          <c:idx val="2"/>
          <c:order val="2"/>
          <c:tx>
            <c:v>datasheet 上限 5 µA</c:v>
          </c:tx>
          <c:spPr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'實驗二 逆偏'!$A$7:$A$26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'實驗二 逆偏'!$H$7:$H$26</c:f>
              <c:numCache>
                <c:formatCode>0.0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D4-3A44-BD8F-6D9B9A148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17982"/>
        <c:axId val="13484104"/>
      </c:scatterChart>
      <c:valAx>
        <c:axId val="453179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Vs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13484104"/>
        <c:crosses val="autoZero"/>
        <c:crossBetween val="midCat"/>
      </c:valAx>
      <c:valAx>
        <c:axId val="134841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 (µA)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45317982"/>
        <c:crosses val="autoZero"/>
        <c:crossBetween val="midCat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zh-TW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實驗三：實測 </a:t>
            </a: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vs LTspice </a:t>
            </a:r>
            <a:r>
              <a:rPr lang="zh-TW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預報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'實驗三 半波'!$C$4</c:f>
              <c:strCache>
                <c:ptCount val="1"/>
                <c:pt idx="0">
                  <c:v>實測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'實驗三 半波'!$B$5:$B$13</c:f>
              <c:strCache>
                <c:ptCount val="9"/>
                <c:pt idx="0">
                  <c:v>V_peak (V)</c:v>
                </c:pt>
                <c:pt idx="1">
                  <c:v>V_rms (V)</c:v>
                </c:pt>
                <c:pt idx="2">
                  <c:v>V_peak (V)</c:v>
                </c:pt>
                <c:pt idx="3">
                  <c:v>V_rms (V)</c:v>
                </c:pt>
                <c:pt idx="4">
                  <c:v>V_avg (V)</c:v>
                </c:pt>
                <c:pt idx="5">
                  <c:v>V_peak (V)</c:v>
                </c:pt>
                <c:pt idx="6">
                  <c:v>V_rms (V)</c:v>
                </c:pt>
                <c:pt idx="7">
                  <c:v>V_avg (V)</c:v>
                </c:pt>
                <c:pt idx="8">
                  <c:v>漣波 V_R (V)</c:v>
                </c:pt>
              </c:strCache>
            </c:strRef>
          </c:cat>
          <c:val>
            <c:numRef>
              <c:f>'實驗三 半波'!$C$5:$C$13</c:f>
              <c:numCache>
                <c:formatCode>0.000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36FD-734C-A916-32CCAAB5261B}"/>
            </c:ext>
          </c:extLst>
        </c:ser>
        <c:ser>
          <c:idx val="1"/>
          <c:order val="1"/>
          <c:tx>
            <c:strRef>
              <c:f>'實驗三 半波'!$D$4</c:f>
              <c:strCache>
                <c:ptCount val="1"/>
                <c:pt idx="0">
                  <c:v>預報（LTspice）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'實驗三 半波'!$B$5:$B$13</c:f>
              <c:strCache>
                <c:ptCount val="9"/>
                <c:pt idx="0">
                  <c:v>V_peak (V)</c:v>
                </c:pt>
                <c:pt idx="1">
                  <c:v>V_rms (V)</c:v>
                </c:pt>
                <c:pt idx="2">
                  <c:v>V_peak (V)</c:v>
                </c:pt>
                <c:pt idx="3">
                  <c:v>V_rms (V)</c:v>
                </c:pt>
                <c:pt idx="4">
                  <c:v>V_avg (V)</c:v>
                </c:pt>
                <c:pt idx="5">
                  <c:v>V_peak (V)</c:v>
                </c:pt>
                <c:pt idx="6">
                  <c:v>V_rms (V)</c:v>
                </c:pt>
                <c:pt idx="7">
                  <c:v>V_avg (V)</c:v>
                </c:pt>
                <c:pt idx="8">
                  <c:v>漣波 V_R (V)</c:v>
                </c:pt>
              </c:strCache>
            </c:strRef>
          </c:cat>
          <c:val>
            <c:numRef>
              <c:f>'實驗三 半波'!$D$5:$D$13</c:f>
              <c:numCache>
                <c:formatCode>0.000</c:formatCode>
                <c:ptCount val="9"/>
                <c:pt idx="0">
                  <c:v>5</c:v>
                </c:pt>
                <c:pt idx="1">
                  <c:v>3.536</c:v>
                </c:pt>
                <c:pt idx="2">
                  <c:v>4.4420000000000002</c:v>
                </c:pt>
                <c:pt idx="3">
                  <c:v>2.1579999999999999</c:v>
                </c:pt>
                <c:pt idx="4">
                  <c:v>1.3340000000000001</c:v>
                </c:pt>
                <c:pt idx="5">
                  <c:v>4.4400000000000004</c:v>
                </c:pt>
                <c:pt idx="6">
                  <c:v>2.8769999999999998</c:v>
                </c:pt>
                <c:pt idx="7">
                  <c:v>2.6920000000000002</c:v>
                </c:pt>
                <c:pt idx="8">
                  <c:v>3.222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FD-734C-A916-32CCAAB52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61687"/>
        <c:axId val="45798005"/>
      </c:barChart>
      <c:catAx>
        <c:axId val="54661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45798005"/>
        <c:crosses val="autoZero"/>
        <c:auto val="1"/>
        <c:lblAlgn val="ctr"/>
        <c:lblOffset val="100"/>
        <c:noMultiLvlLbl val="0"/>
      </c:catAx>
      <c:valAx>
        <c:axId val="457980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zh-TW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電壓 </a:t>
                </a:r>
                <a:r>
                  <a:rPr lang="en-US" altLang="zh-TW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(</a:t>
                </a: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54661687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zh-TW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實驗四：實測 </a:t>
            </a:r>
            <a:r>
              <a:rPr lang="en" sz="1800" b="1" u="none" strike="noStrike">
                <a:solidFill>
                  <a:srgbClr val="000000"/>
                </a:solidFill>
                <a:uFillTx/>
                <a:latin typeface="Calibri"/>
              </a:rPr>
              <a:t>vs LTspice </a:t>
            </a:r>
            <a:r>
              <a:rPr lang="zh-TW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預報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'實驗四 橋式'!$C$4</c:f>
              <c:strCache>
                <c:ptCount val="1"/>
                <c:pt idx="0">
                  <c:v>實測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'實驗四 橋式'!$B$5:$B$13</c:f>
              <c:strCache>
                <c:ptCount val="9"/>
                <c:pt idx="0">
                  <c:v>V_peak (V)</c:v>
                </c:pt>
                <c:pt idx="1">
                  <c:v>V_rms (V)</c:v>
                </c:pt>
                <c:pt idx="2">
                  <c:v>V_peak (V)</c:v>
                </c:pt>
                <c:pt idx="3">
                  <c:v>V_rms (V)</c:v>
                </c:pt>
                <c:pt idx="4">
                  <c:v>V_avg (V)</c:v>
                </c:pt>
                <c:pt idx="5">
                  <c:v>V_peak (V)</c:v>
                </c:pt>
                <c:pt idx="6">
                  <c:v>漣波 V_R (V)</c:v>
                </c:pt>
                <c:pt idx="7">
                  <c:v>V_peak (V)</c:v>
                </c:pt>
                <c:pt idx="8">
                  <c:v>V_drop (V)</c:v>
                </c:pt>
              </c:strCache>
            </c:strRef>
          </c:cat>
          <c:val>
            <c:numRef>
              <c:f>'實驗四 橋式'!$C$5:$C$13</c:f>
              <c:numCache>
                <c:formatCode>0.000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7226-D345-BFA4-2667B754030D}"/>
            </c:ext>
          </c:extLst>
        </c:ser>
        <c:ser>
          <c:idx val="1"/>
          <c:order val="1"/>
          <c:tx>
            <c:strRef>
              <c:f>'實驗四 橋式'!$D$4</c:f>
              <c:strCache>
                <c:ptCount val="1"/>
                <c:pt idx="0">
                  <c:v>預報（LTspice）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'實驗四 橋式'!$B$5:$B$13</c:f>
              <c:strCache>
                <c:ptCount val="9"/>
                <c:pt idx="0">
                  <c:v>V_peak (V)</c:v>
                </c:pt>
                <c:pt idx="1">
                  <c:v>V_rms (V)</c:v>
                </c:pt>
                <c:pt idx="2">
                  <c:v>V_peak (V)</c:v>
                </c:pt>
                <c:pt idx="3">
                  <c:v>V_rms (V)</c:v>
                </c:pt>
                <c:pt idx="4">
                  <c:v>V_avg (V)</c:v>
                </c:pt>
                <c:pt idx="5">
                  <c:v>V_peak (V)</c:v>
                </c:pt>
                <c:pt idx="6">
                  <c:v>漣波 V_R (V)</c:v>
                </c:pt>
                <c:pt idx="7">
                  <c:v>V_peak (V)</c:v>
                </c:pt>
                <c:pt idx="8">
                  <c:v>V_drop (V)</c:v>
                </c:pt>
              </c:strCache>
            </c:strRef>
          </c:cat>
          <c:val>
            <c:numRef>
              <c:f>'實驗四 橋式'!$D$5:$D$13</c:f>
              <c:numCache>
                <c:formatCode>0.000</c:formatCode>
                <c:ptCount val="9"/>
                <c:pt idx="0">
                  <c:v>2.5</c:v>
                </c:pt>
                <c:pt idx="1">
                  <c:v>1.768</c:v>
                </c:pt>
                <c:pt idx="2">
                  <c:v>1.464</c:v>
                </c:pt>
                <c:pt idx="3">
                  <c:v>0.91400000000000003</c:v>
                </c:pt>
                <c:pt idx="4">
                  <c:v>0.72799999999999998</c:v>
                </c:pt>
                <c:pt idx="5">
                  <c:v>1.4450000000000001</c:v>
                </c:pt>
                <c:pt idx="6">
                  <c:v>0.61</c:v>
                </c:pt>
                <c:pt idx="7">
                  <c:v>1.464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26-D345-BFA4-2667B7540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094513"/>
        <c:axId val="19430825"/>
      </c:barChart>
      <c:catAx>
        <c:axId val="860945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19430825"/>
        <c:crosses val="autoZero"/>
        <c:auto val="1"/>
        <c:lblAlgn val="ctr"/>
        <c:lblOffset val="100"/>
        <c:noMultiLvlLbl val="0"/>
      </c:catAx>
      <c:valAx>
        <c:axId val="194308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zh-TW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電壓 </a:t>
                </a:r>
                <a:r>
                  <a:rPr lang="en-US" altLang="zh-TW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(</a:t>
                </a:r>
                <a:r>
                  <a:rPr lang="e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86094513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584200</xdr:colOff>
      <xdr:row>28</xdr:row>
      <xdr:rowOff>139700</xdr:rowOff>
    </xdr:from>
    <xdr:to>
      <xdr:col>9</xdr:col>
      <xdr:colOff>461880</xdr:colOff>
      <xdr:row>45</xdr:row>
      <xdr:rowOff>128080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25400</xdr:colOff>
      <xdr:row>28</xdr:row>
      <xdr:rowOff>50800</xdr:rowOff>
    </xdr:from>
    <xdr:to>
      <xdr:col>20</xdr:col>
      <xdr:colOff>30080</xdr:colOff>
      <xdr:row>45</xdr:row>
      <xdr:rowOff>13780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673100</xdr:colOff>
      <xdr:row>28</xdr:row>
      <xdr:rowOff>101600</xdr:rowOff>
    </xdr:from>
    <xdr:to>
      <xdr:col>8</xdr:col>
      <xdr:colOff>461880</xdr:colOff>
      <xdr:row>45</xdr:row>
      <xdr:rowOff>89980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165100</xdr:colOff>
      <xdr:row>28</xdr:row>
      <xdr:rowOff>101600</xdr:rowOff>
    </xdr:from>
    <xdr:to>
      <xdr:col>19</xdr:col>
      <xdr:colOff>169780</xdr:colOff>
      <xdr:row>45</xdr:row>
      <xdr:rowOff>64580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0</xdr:rowOff>
    </xdr:from>
    <xdr:to>
      <xdr:col>6</xdr:col>
      <xdr:colOff>448200</xdr:colOff>
      <xdr:row>56</xdr:row>
      <xdr:rowOff>170640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0</xdr:rowOff>
    </xdr:from>
    <xdr:to>
      <xdr:col>6</xdr:col>
      <xdr:colOff>448200</xdr:colOff>
      <xdr:row>56</xdr:row>
      <xdr:rowOff>170640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zoomScaleNormal="100" workbookViewId="0">
      <selection activeCell="H27" sqref="H27"/>
    </sheetView>
  </sheetViews>
  <sheetFormatPr baseColWidth="10" defaultColWidth="9.5" defaultRowHeight="14"/>
  <cols>
    <col min="1" max="3" width="17.33203125" customWidth="1"/>
    <col min="4" max="4" width="15.1640625" customWidth="1"/>
    <col min="5" max="5" width="17.33203125" customWidth="1"/>
    <col min="6" max="6" width="15.1640625" customWidth="1"/>
  </cols>
  <sheetData>
    <row r="1" spans="1:6" ht="31">
      <c r="A1" s="44" t="s">
        <v>111</v>
      </c>
      <c r="B1" s="44"/>
      <c r="C1" s="44"/>
      <c r="D1" s="44"/>
      <c r="E1" s="44"/>
      <c r="F1" s="44"/>
    </row>
    <row r="2" spans="1:6">
      <c r="A2" s="45" t="s">
        <v>0</v>
      </c>
      <c r="B2" s="45"/>
      <c r="C2" s="45"/>
      <c r="D2" s="45"/>
      <c r="E2" s="45"/>
      <c r="F2" s="45"/>
    </row>
    <row r="4" spans="1:6">
      <c r="A4" s="2" t="s">
        <v>1</v>
      </c>
      <c r="B4" s="3"/>
    </row>
    <row r="5" spans="1:6">
      <c r="A5" s="4" t="s">
        <v>2</v>
      </c>
      <c r="B5" s="3" t="s">
        <v>3</v>
      </c>
    </row>
    <row r="6" spans="1:6">
      <c r="A6" s="4" t="s">
        <v>4</v>
      </c>
      <c r="B6" s="3" t="s">
        <v>5</v>
      </c>
    </row>
    <row r="7" spans="1:6">
      <c r="A7" s="4" t="s">
        <v>6</v>
      </c>
      <c r="B7" s="3" t="s">
        <v>7</v>
      </c>
    </row>
    <row r="8" spans="1:6">
      <c r="A8" s="4" t="s">
        <v>8</v>
      </c>
      <c r="B8" s="3" t="s">
        <v>9</v>
      </c>
    </row>
    <row r="9" spans="1:6">
      <c r="A9" s="4" t="s">
        <v>10</v>
      </c>
      <c r="B9" s="3" t="s">
        <v>11</v>
      </c>
    </row>
    <row r="10" spans="1:6">
      <c r="A10" s="4" t="s">
        <v>12</v>
      </c>
      <c r="B10" s="3" t="s">
        <v>13</v>
      </c>
    </row>
    <row r="11" spans="1:6">
      <c r="A11" s="3"/>
      <c r="B11" s="3" t="s">
        <v>14</v>
      </c>
    </row>
    <row r="12" spans="1:6">
      <c r="A12" s="3"/>
      <c r="B12" s="3"/>
    </row>
    <row r="13" spans="1:6">
      <c r="A13" s="2" t="s">
        <v>15</v>
      </c>
      <c r="B13" s="3"/>
    </row>
    <row r="14" spans="1:6" ht="30" customHeight="1">
      <c r="A14" s="5" t="s">
        <v>16</v>
      </c>
      <c r="B14" s="6" t="s">
        <v>17</v>
      </c>
      <c r="C14" s="6" t="s">
        <v>18</v>
      </c>
      <c r="D14" s="5" t="s">
        <v>19</v>
      </c>
      <c r="E14" s="5" t="s">
        <v>20</v>
      </c>
      <c r="F14" s="6" t="s">
        <v>21</v>
      </c>
    </row>
    <row r="15" spans="1:6">
      <c r="A15" s="7">
        <v>0.6</v>
      </c>
      <c r="B15" s="8">
        <v>0.55200000000000005</v>
      </c>
      <c r="C15" s="8">
        <v>0.05</v>
      </c>
      <c r="D15" s="9">
        <v>4.8000000000000001E-2</v>
      </c>
      <c r="E15" s="9">
        <v>4.8000000000000001E-2</v>
      </c>
      <c r="F15" s="10">
        <v>-0.04</v>
      </c>
    </row>
    <row r="16" spans="1:6">
      <c r="A16" s="1" t="s">
        <v>22</v>
      </c>
    </row>
    <row r="18" spans="1:1">
      <c r="A18" s="2" t="s">
        <v>23</v>
      </c>
    </row>
    <row r="19" spans="1:1">
      <c r="A19" s="1" t="s">
        <v>24</v>
      </c>
    </row>
  </sheetData>
  <mergeCells count="2">
    <mergeCell ref="A1:F1"/>
    <mergeCell ref="A2:F2"/>
  </mergeCells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tabSelected="1" zoomScaleNormal="100" workbookViewId="0">
      <pane ySplit="6" topLeftCell="A7" activePane="bottomLeft" state="frozen"/>
      <selection pane="bottomLeft" activeCell="L19" sqref="L19"/>
    </sheetView>
  </sheetViews>
  <sheetFormatPr baseColWidth="10" defaultColWidth="9.5" defaultRowHeight="14"/>
  <cols>
    <col min="1" max="1" width="22.5" customWidth="1"/>
    <col min="2" max="3" width="15.1640625" customWidth="1"/>
    <col min="4" max="4" width="17.33203125" customWidth="1"/>
    <col min="5" max="5" width="16.33203125" customWidth="1"/>
    <col min="6" max="6" width="15.1640625" customWidth="1"/>
    <col min="7" max="8" width="16.33203125" customWidth="1"/>
    <col min="9" max="9" width="15.1640625" customWidth="1"/>
  </cols>
  <sheetData>
    <row r="1" spans="1:11" ht="31">
      <c r="A1" s="44" t="s">
        <v>107</v>
      </c>
      <c r="B1" s="44"/>
      <c r="C1" s="44"/>
      <c r="D1" s="44"/>
      <c r="E1" s="44"/>
      <c r="F1" s="44"/>
      <c r="G1" s="44"/>
      <c r="H1" s="44"/>
      <c r="I1" s="44"/>
    </row>
    <row r="2" spans="1:11">
      <c r="A2" s="45" t="s">
        <v>25</v>
      </c>
      <c r="B2" s="45"/>
      <c r="C2" s="45"/>
      <c r="D2" s="45"/>
      <c r="E2" s="45"/>
      <c r="F2" s="45"/>
      <c r="G2" s="45"/>
      <c r="H2" s="45"/>
      <c r="I2" s="45"/>
    </row>
    <row r="4" spans="1:11" ht="15">
      <c r="A4" s="2" t="s">
        <v>26</v>
      </c>
      <c r="B4" s="11">
        <v>1000</v>
      </c>
      <c r="C4" s="1" t="s">
        <v>27</v>
      </c>
      <c r="J4" t="s">
        <v>156</v>
      </c>
      <c r="K4">
        <v>999</v>
      </c>
    </row>
    <row r="6" spans="1:11" ht="30" customHeight="1">
      <c r="A6" s="5" t="s">
        <v>16</v>
      </c>
      <c r="B6" s="6" t="s">
        <v>17</v>
      </c>
      <c r="C6" s="6" t="s">
        <v>28</v>
      </c>
      <c r="D6" s="5" t="s">
        <v>29</v>
      </c>
      <c r="E6" s="5" t="s">
        <v>30</v>
      </c>
      <c r="F6" s="6" t="s">
        <v>31</v>
      </c>
      <c r="G6" s="5" t="s">
        <v>32</v>
      </c>
      <c r="H6" s="5" t="s">
        <v>33</v>
      </c>
      <c r="I6" s="5" t="s">
        <v>34</v>
      </c>
      <c r="J6" s="41" t="s">
        <v>155</v>
      </c>
      <c r="K6" s="41" t="s">
        <v>157</v>
      </c>
    </row>
    <row r="7" spans="1:11">
      <c r="A7" s="18">
        <v>0.1</v>
      </c>
      <c r="B7" s="19">
        <v>9.2100000000000001E-2</v>
      </c>
      <c r="C7" s="19">
        <f>K7</f>
        <v>3.0030030030030029E-4</v>
      </c>
      <c r="D7" s="20">
        <f t="shared" ref="D7:D26" si="0">IF(B7="","",A7-B7)</f>
        <v>7.9000000000000042E-3</v>
      </c>
      <c r="E7" s="20">
        <f t="shared" ref="E7:E26" si="1">IF(B7="","",(A7-B7)/$B$4*1000)</f>
        <v>7.9000000000000042E-3</v>
      </c>
      <c r="F7" s="21">
        <f t="shared" ref="F7:F26" si="2">IF(OR(C7="",E7="",E7=0),"",(C7-E7)/E7)</f>
        <v>-0.96198730375945574</v>
      </c>
      <c r="G7" s="22">
        <v>0.1</v>
      </c>
      <c r="H7" s="22">
        <v>0</v>
      </c>
      <c r="I7" s="21">
        <f t="shared" ref="I7:I26" si="3">IF(OR(B7="",G7=0),"",(B7-G7)/G7)</f>
        <v>-7.9000000000000042E-2</v>
      </c>
      <c r="J7">
        <f>0.3/1000</f>
        <v>2.9999999999999997E-4</v>
      </c>
      <c r="K7">
        <f>(J7/$K$4)*1000</f>
        <v>3.0030030030030029E-4</v>
      </c>
    </row>
    <row r="8" spans="1:11">
      <c r="A8" s="18">
        <v>0.2</v>
      </c>
      <c r="B8" s="19">
        <v>0.21099999999999999</v>
      </c>
      <c r="C8" s="19">
        <f t="shared" ref="C8:C26" si="4">K8</f>
        <v>1.9319319319319319E-2</v>
      </c>
      <c r="D8" s="20">
        <f t="shared" si="0"/>
        <v>-1.0999999999999982E-2</v>
      </c>
      <c r="E8" s="20">
        <f t="shared" si="1"/>
        <v>-1.0999999999999982E-2</v>
      </c>
      <c r="F8" s="21">
        <f t="shared" si="2"/>
        <v>-2.7563017563017591</v>
      </c>
      <c r="G8" s="22">
        <v>0.2</v>
      </c>
      <c r="H8" s="22">
        <v>2.0000000000000002E-5</v>
      </c>
      <c r="I8" s="21">
        <f t="shared" si="3"/>
        <v>5.499999999999991E-2</v>
      </c>
      <c r="J8">
        <v>1.9300000000000001E-2</v>
      </c>
      <c r="K8">
        <f t="shared" ref="K8:K26" si="5">(J8/$K$4)*1000</f>
        <v>1.9319319319319319E-2</v>
      </c>
    </row>
    <row r="9" spans="1:11">
      <c r="A9" s="18">
        <v>0.3</v>
      </c>
      <c r="B9" s="19">
        <v>0.317</v>
      </c>
      <c r="C9" s="19">
        <f t="shared" si="4"/>
        <v>2.4124124124124124E-2</v>
      </c>
      <c r="D9" s="20">
        <f t="shared" si="0"/>
        <v>-1.7000000000000015E-2</v>
      </c>
      <c r="E9" s="20">
        <f t="shared" si="1"/>
        <v>-1.7000000000000015E-2</v>
      </c>
      <c r="F9" s="21">
        <f t="shared" si="2"/>
        <v>-2.4190661249484768</v>
      </c>
      <c r="G9" s="22">
        <v>0.29959999999999998</v>
      </c>
      <c r="H9" s="22">
        <v>3.5E-4</v>
      </c>
      <c r="I9" s="21">
        <f t="shared" si="3"/>
        <v>5.8077436582109572E-2</v>
      </c>
      <c r="J9">
        <v>2.41E-2</v>
      </c>
      <c r="K9">
        <f t="shared" si="5"/>
        <v>2.4124124124124124E-2</v>
      </c>
    </row>
    <row r="10" spans="1:11">
      <c r="A10" s="18">
        <v>0.42</v>
      </c>
      <c r="B10" s="19">
        <v>0.40600000000000003</v>
      </c>
      <c r="C10" s="19">
        <f t="shared" si="4"/>
        <v>2.4324324324324322E-2</v>
      </c>
      <c r="D10" s="20">
        <f t="shared" si="0"/>
        <v>1.3999999999999957E-2</v>
      </c>
      <c r="E10" s="20">
        <f t="shared" si="1"/>
        <v>1.3999999999999957E-2</v>
      </c>
      <c r="F10" s="21">
        <f t="shared" si="2"/>
        <v>0.73745173745174264</v>
      </c>
      <c r="G10" s="22">
        <v>0.39510000000000001</v>
      </c>
      <c r="H10" s="22">
        <v>4.9300000000000004E-3</v>
      </c>
      <c r="I10" s="21">
        <f t="shared" si="3"/>
        <v>2.7587952417109644E-2</v>
      </c>
      <c r="J10">
        <v>2.4299999999999999E-2</v>
      </c>
      <c r="K10">
        <f t="shared" si="5"/>
        <v>2.4324324324324322E-2</v>
      </c>
    </row>
    <row r="11" spans="1:11">
      <c r="A11" s="18">
        <v>0.5</v>
      </c>
      <c r="B11" s="42">
        <v>0.47299999999999998</v>
      </c>
      <c r="C11" s="19">
        <f t="shared" si="4"/>
        <v>2.832832832832833E-2</v>
      </c>
      <c r="D11" s="20">
        <f t="shared" si="0"/>
        <v>2.7000000000000024E-2</v>
      </c>
      <c r="E11" s="20">
        <f t="shared" si="1"/>
        <v>2.7000000000000024E-2</v>
      </c>
      <c r="F11" s="21">
        <f t="shared" si="2"/>
        <v>4.9197345493640909E-2</v>
      </c>
      <c r="G11" s="22">
        <v>0.46550000000000002</v>
      </c>
      <c r="H11" s="22">
        <v>3.4470000000000001E-2</v>
      </c>
      <c r="I11" s="21">
        <f t="shared" si="3"/>
        <v>1.6111707841031043E-2</v>
      </c>
      <c r="J11">
        <v>2.8299999999999999E-2</v>
      </c>
      <c r="K11">
        <f t="shared" si="5"/>
        <v>2.832832832832833E-2</v>
      </c>
    </row>
    <row r="12" spans="1:11">
      <c r="A12" s="18">
        <v>0.6</v>
      </c>
      <c r="B12" s="19">
        <v>0.48099999999999998</v>
      </c>
      <c r="C12" s="19">
        <f t="shared" si="4"/>
        <v>0.12112112112112111</v>
      </c>
      <c r="D12" s="20">
        <f t="shared" si="0"/>
        <v>0.11899999999999999</v>
      </c>
      <c r="E12" s="20">
        <f t="shared" si="1"/>
        <v>0.11899999999999999</v>
      </c>
      <c r="F12" s="21">
        <f t="shared" si="2"/>
        <v>1.7824547236311907E-2</v>
      </c>
      <c r="G12" s="22">
        <v>0.503</v>
      </c>
      <c r="H12" s="22">
        <v>9.7009999999999999E-2</v>
      </c>
      <c r="I12" s="21">
        <f t="shared" si="3"/>
        <v>-4.3737574552683935E-2</v>
      </c>
      <c r="J12">
        <v>0.121</v>
      </c>
      <c r="K12">
        <f t="shared" si="5"/>
        <v>0.12112112112112111</v>
      </c>
    </row>
    <row r="13" spans="1:11">
      <c r="A13" s="18">
        <v>0.7</v>
      </c>
      <c r="B13" s="19">
        <v>0.503</v>
      </c>
      <c r="C13" s="19">
        <f t="shared" si="4"/>
        <v>0.21821821821821821</v>
      </c>
      <c r="D13" s="20">
        <f t="shared" si="0"/>
        <v>0.19699999999999995</v>
      </c>
      <c r="E13" s="20">
        <f t="shared" si="1"/>
        <v>0.19699999999999995</v>
      </c>
      <c r="F13" s="21">
        <f t="shared" si="2"/>
        <v>0.10770669146303688</v>
      </c>
      <c r="G13" s="22">
        <v>0.52449999999999997</v>
      </c>
      <c r="H13" s="22">
        <v>0.17552999999999999</v>
      </c>
      <c r="I13" s="21">
        <f t="shared" si="3"/>
        <v>-4.099142040038125E-2</v>
      </c>
      <c r="J13">
        <v>0.218</v>
      </c>
      <c r="K13">
        <f t="shared" si="5"/>
        <v>0.21821821821821821</v>
      </c>
    </row>
    <row r="14" spans="1:11">
      <c r="A14" s="18">
        <v>0.8</v>
      </c>
      <c r="B14" s="19">
        <v>0.51800000000000002</v>
      </c>
      <c r="C14" s="19">
        <f t="shared" si="4"/>
        <v>0.29029029029029024</v>
      </c>
      <c r="D14" s="20">
        <f t="shared" si="0"/>
        <v>0.28200000000000003</v>
      </c>
      <c r="E14" s="20">
        <f t="shared" si="1"/>
        <v>0.28200000000000003</v>
      </c>
      <c r="F14" s="21">
        <f t="shared" si="2"/>
        <v>2.9398192518759622E-2</v>
      </c>
      <c r="G14" s="22">
        <v>0.53890000000000005</v>
      </c>
      <c r="H14" s="22">
        <v>0.26113999999999998</v>
      </c>
      <c r="I14" s="21">
        <f t="shared" si="3"/>
        <v>-3.8782705511226624E-2</v>
      </c>
      <c r="J14">
        <v>0.28999999999999998</v>
      </c>
      <c r="K14">
        <f t="shared" si="5"/>
        <v>0.29029029029029024</v>
      </c>
    </row>
    <row r="15" spans="1:11">
      <c r="A15" s="18">
        <v>0.9</v>
      </c>
      <c r="B15" s="19">
        <v>0.53200000000000003</v>
      </c>
      <c r="C15" s="19">
        <f t="shared" si="4"/>
        <v>0.3733733733733734</v>
      </c>
      <c r="D15" s="20">
        <f t="shared" si="0"/>
        <v>0.36799999999999999</v>
      </c>
      <c r="E15" s="20">
        <f t="shared" si="1"/>
        <v>0.36799999999999999</v>
      </c>
      <c r="F15" s="21">
        <f t="shared" si="2"/>
        <v>1.4601558079819029E-2</v>
      </c>
      <c r="G15" s="22">
        <v>0.54949999999999999</v>
      </c>
      <c r="H15" s="22">
        <v>0.35048000000000001</v>
      </c>
      <c r="I15" s="21">
        <f t="shared" si="3"/>
        <v>-3.1847133757961714E-2</v>
      </c>
      <c r="J15">
        <v>0.373</v>
      </c>
      <c r="K15">
        <f t="shared" si="5"/>
        <v>0.3733733733733734</v>
      </c>
    </row>
    <row r="16" spans="1:11">
      <c r="A16" s="18">
        <v>1</v>
      </c>
      <c r="B16" s="19">
        <v>0.54300000000000004</v>
      </c>
      <c r="C16" s="19">
        <f t="shared" si="4"/>
        <v>0.46946946946946944</v>
      </c>
      <c r="D16" s="20">
        <f t="shared" si="0"/>
        <v>0.45699999999999996</v>
      </c>
      <c r="E16" s="20">
        <f t="shared" si="1"/>
        <v>0.45699999999999996</v>
      </c>
      <c r="F16" s="21">
        <f t="shared" si="2"/>
        <v>2.7285491180458369E-2</v>
      </c>
      <c r="G16" s="22">
        <v>0.55789999999999995</v>
      </c>
      <c r="H16" s="22">
        <v>0.44207000000000002</v>
      </c>
      <c r="I16" s="21">
        <f t="shared" si="3"/>
        <v>-2.6707295214195938E-2</v>
      </c>
      <c r="J16">
        <v>0.46899999999999997</v>
      </c>
      <c r="K16">
        <f t="shared" si="5"/>
        <v>0.46946946946946944</v>
      </c>
    </row>
    <row r="17" spans="1:11">
      <c r="A17" s="18">
        <v>1.1000000000000001</v>
      </c>
      <c r="B17" s="19">
        <v>0.55100000000000005</v>
      </c>
      <c r="C17" s="19">
        <f t="shared" si="4"/>
        <v>0.55055055055055058</v>
      </c>
      <c r="D17" s="20">
        <f t="shared" si="0"/>
        <v>0.54900000000000004</v>
      </c>
      <c r="E17" s="20">
        <f t="shared" si="1"/>
        <v>0.54900000000000004</v>
      </c>
      <c r="F17" s="21">
        <f t="shared" si="2"/>
        <v>2.824317942714997E-3</v>
      </c>
      <c r="G17" s="22">
        <v>0.56479999999999997</v>
      </c>
      <c r="H17" s="22">
        <v>0.53515000000000001</v>
      </c>
      <c r="I17" s="21">
        <f t="shared" si="3"/>
        <v>-2.4433427762039526E-2</v>
      </c>
      <c r="J17">
        <v>0.55000000000000004</v>
      </c>
      <c r="K17">
        <f t="shared" si="5"/>
        <v>0.55055055055055058</v>
      </c>
    </row>
    <row r="18" spans="1:11">
      <c r="A18" s="18">
        <v>1.2</v>
      </c>
      <c r="B18" s="19">
        <v>0.55800000000000005</v>
      </c>
      <c r="C18" s="19">
        <f t="shared" si="4"/>
        <v>0.63463463463463465</v>
      </c>
      <c r="D18" s="20">
        <f t="shared" si="0"/>
        <v>0.6419999999999999</v>
      </c>
      <c r="E18" s="20">
        <f t="shared" si="1"/>
        <v>0.6419999999999999</v>
      </c>
      <c r="F18" s="21">
        <f t="shared" si="2"/>
        <v>-1.1472531721752728E-2</v>
      </c>
      <c r="G18" s="22">
        <v>0.57069999999999999</v>
      </c>
      <c r="H18" s="22">
        <v>0.62927999999999995</v>
      </c>
      <c r="I18" s="21">
        <f t="shared" si="3"/>
        <v>-2.2253373050639451E-2</v>
      </c>
      <c r="J18">
        <v>0.63400000000000001</v>
      </c>
      <c r="K18">
        <f t="shared" si="5"/>
        <v>0.63463463463463465</v>
      </c>
    </row>
    <row r="19" spans="1:11">
      <c r="A19" s="18">
        <v>1.3</v>
      </c>
      <c r="B19" s="19">
        <v>0.56599999999999995</v>
      </c>
      <c r="C19" s="19">
        <f t="shared" si="4"/>
        <v>0.73873873873873874</v>
      </c>
      <c r="D19" s="20">
        <f t="shared" si="0"/>
        <v>0.7340000000000001</v>
      </c>
      <c r="E19" s="20">
        <f t="shared" si="1"/>
        <v>0.7340000000000001</v>
      </c>
      <c r="F19" s="21">
        <f t="shared" si="2"/>
        <v>6.4560473279818053E-3</v>
      </c>
      <c r="G19" s="22">
        <v>0.57579999999999998</v>
      </c>
      <c r="H19" s="22">
        <v>0.72419</v>
      </c>
      <c r="I19" s="21">
        <f t="shared" si="3"/>
        <v>-1.7019798541160178E-2</v>
      </c>
      <c r="J19">
        <v>0.73799999999999999</v>
      </c>
      <c r="K19">
        <f t="shared" si="5"/>
        <v>0.73873873873873874</v>
      </c>
    </row>
    <row r="20" spans="1:11">
      <c r="A20" s="18">
        <v>1.4</v>
      </c>
      <c r="B20" s="19">
        <v>0.57199999999999995</v>
      </c>
      <c r="C20" s="19">
        <f t="shared" si="4"/>
        <v>0.84484484484484479</v>
      </c>
      <c r="D20" s="20">
        <f t="shared" si="0"/>
        <v>0.82799999999999996</v>
      </c>
      <c r="E20" s="20">
        <f t="shared" si="1"/>
        <v>0.82799999999999996</v>
      </c>
      <c r="F20" s="21">
        <f t="shared" si="2"/>
        <v>2.0344015513097623E-2</v>
      </c>
      <c r="G20" s="22">
        <v>0.58030000000000004</v>
      </c>
      <c r="H20" s="22">
        <v>0.81969999999999998</v>
      </c>
      <c r="I20" s="21">
        <f t="shared" si="3"/>
        <v>-1.430294675168031E-2</v>
      </c>
      <c r="J20">
        <v>0.84399999999999997</v>
      </c>
      <c r="K20">
        <f t="shared" si="5"/>
        <v>0.84484484484484479</v>
      </c>
    </row>
    <row r="21" spans="1:11">
      <c r="A21" s="18">
        <v>1.5</v>
      </c>
      <c r="B21" s="19">
        <v>0.57699999999999996</v>
      </c>
      <c r="C21" s="19">
        <f t="shared" si="4"/>
        <v>0.927927927927928</v>
      </c>
      <c r="D21" s="20">
        <f t="shared" si="0"/>
        <v>0.92300000000000004</v>
      </c>
      <c r="E21" s="20">
        <f t="shared" si="1"/>
        <v>0.92300000000000004</v>
      </c>
      <c r="F21" s="21">
        <f t="shared" si="2"/>
        <v>5.3390335080476222E-3</v>
      </c>
      <c r="G21" s="22">
        <v>0.58430000000000004</v>
      </c>
      <c r="H21" s="22">
        <v>0.91569</v>
      </c>
      <c r="I21" s="21">
        <f t="shared" si="3"/>
        <v>-1.2493582064008359E-2</v>
      </c>
      <c r="J21">
        <v>0.92700000000000005</v>
      </c>
      <c r="K21">
        <f t="shared" si="5"/>
        <v>0.927927927927928</v>
      </c>
    </row>
    <row r="22" spans="1:11">
      <c r="A22" s="18">
        <v>1.6</v>
      </c>
      <c r="B22" s="19">
        <v>0.58099999999999996</v>
      </c>
      <c r="C22" s="19">
        <f t="shared" si="4"/>
        <v>1.0110110110110109</v>
      </c>
      <c r="D22" s="20">
        <f t="shared" si="0"/>
        <v>1.0190000000000001</v>
      </c>
      <c r="E22" s="20">
        <f t="shared" si="1"/>
        <v>1.0190000000000001</v>
      </c>
      <c r="F22" s="21">
        <f t="shared" si="2"/>
        <v>-7.8400284484683551E-3</v>
      </c>
      <c r="G22" s="22">
        <v>0.58789999999999998</v>
      </c>
      <c r="H22" s="22">
        <v>1.01206</v>
      </c>
      <c r="I22" s="21">
        <f t="shared" si="3"/>
        <v>-1.1736689913250583E-2</v>
      </c>
      <c r="J22">
        <v>1.01</v>
      </c>
      <c r="K22">
        <f t="shared" si="5"/>
        <v>1.0110110110110109</v>
      </c>
    </row>
    <row r="23" spans="1:11">
      <c r="A23" s="18">
        <v>1.7</v>
      </c>
      <c r="B23" s="19">
        <v>0.58599999999999997</v>
      </c>
      <c r="C23" s="19">
        <f t="shared" si="4"/>
        <v>1.1111111111111112</v>
      </c>
      <c r="D23" s="20">
        <f t="shared" si="0"/>
        <v>1.1139999999999999</v>
      </c>
      <c r="E23" s="20">
        <f t="shared" si="1"/>
        <v>1.1139999999999999</v>
      </c>
      <c r="F23" s="21">
        <f t="shared" si="2"/>
        <v>-2.5932575304207532E-3</v>
      </c>
      <c r="G23" s="22">
        <v>0.59119999999999995</v>
      </c>
      <c r="H23" s="22">
        <v>1.1087499999999999</v>
      </c>
      <c r="I23" s="21">
        <f t="shared" si="3"/>
        <v>-8.795669824086574E-3</v>
      </c>
      <c r="J23">
        <v>1.1100000000000001</v>
      </c>
      <c r="K23">
        <f t="shared" si="5"/>
        <v>1.1111111111111112</v>
      </c>
    </row>
    <row r="24" spans="1:11">
      <c r="A24" s="18">
        <v>1.8</v>
      </c>
      <c r="B24" s="19">
        <v>0.59</v>
      </c>
      <c r="C24" s="19">
        <f t="shared" si="4"/>
        <v>1.211211211211211</v>
      </c>
      <c r="D24" s="20">
        <f t="shared" si="0"/>
        <v>1.21</v>
      </c>
      <c r="E24" s="20">
        <f t="shared" si="1"/>
        <v>1.21</v>
      </c>
      <c r="F24" s="21">
        <f t="shared" si="2"/>
        <v>1.0010010010008583E-3</v>
      </c>
      <c r="G24" s="22">
        <v>0.59430000000000005</v>
      </c>
      <c r="H24" s="22">
        <v>1.2057100000000001</v>
      </c>
      <c r="I24" s="21">
        <f t="shared" si="3"/>
        <v>-7.2354029951204463E-3</v>
      </c>
      <c r="J24">
        <v>1.21</v>
      </c>
      <c r="K24">
        <f t="shared" si="5"/>
        <v>1.211211211211211</v>
      </c>
    </row>
    <row r="25" spans="1:11">
      <c r="A25" s="18">
        <v>1.9</v>
      </c>
      <c r="B25" s="19">
        <v>0.59399999999999997</v>
      </c>
      <c r="C25" s="19">
        <f t="shared" si="4"/>
        <v>1.3203203203203202</v>
      </c>
      <c r="D25" s="20">
        <f t="shared" si="0"/>
        <v>1.306</v>
      </c>
      <c r="E25" s="20">
        <f t="shared" si="1"/>
        <v>1.306</v>
      </c>
      <c r="F25" s="21">
        <f t="shared" si="2"/>
        <v>1.0965023216171635E-2</v>
      </c>
      <c r="G25" s="22">
        <v>0.59709999999999996</v>
      </c>
      <c r="H25" s="22">
        <v>1.3028999999999999</v>
      </c>
      <c r="I25" s="21">
        <f t="shared" si="3"/>
        <v>-5.1917601741751666E-3</v>
      </c>
      <c r="J25">
        <v>1.319</v>
      </c>
      <c r="K25">
        <f t="shared" si="5"/>
        <v>1.3203203203203202</v>
      </c>
    </row>
    <row r="26" spans="1:11">
      <c r="A26" s="18">
        <v>2</v>
      </c>
      <c r="B26" s="19">
        <v>0.59799999999999998</v>
      </c>
      <c r="C26" s="19">
        <f t="shared" si="4"/>
        <v>1.4204204204204205</v>
      </c>
      <c r="D26" s="20">
        <f t="shared" si="0"/>
        <v>1.4020000000000001</v>
      </c>
      <c r="E26" s="20">
        <f t="shared" si="1"/>
        <v>1.4020000000000001</v>
      </c>
      <c r="F26" s="21">
        <f t="shared" si="2"/>
        <v>1.3138673623694976E-2</v>
      </c>
      <c r="G26" s="22">
        <v>0.59970000000000001</v>
      </c>
      <c r="H26" s="22">
        <v>1.40029</v>
      </c>
      <c r="I26" s="21">
        <f t="shared" si="3"/>
        <v>-2.8347507086877353E-3</v>
      </c>
      <c r="J26">
        <v>1.419</v>
      </c>
      <c r="K26">
        <f t="shared" si="5"/>
        <v>1.4204204204204205</v>
      </c>
    </row>
    <row r="28" spans="1:11">
      <c r="A28" s="12" t="s">
        <v>35</v>
      </c>
    </row>
    <row r="30" spans="1:11">
      <c r="A30" s="2" t="s">
        <v>36</v>
      </c>
    </row>
    <row r="31" spans="1:11">
      <c r="A31" s="13" t="s">
        <v>37</v>
      </c>
      <c r="B31" s="13" t="s">
        <v>38</v>
      </c>
      <c r="C31" s="13" t="s">
        <v>39</v>
      </c>
    </row>
    <row r="32" spans="1:11">
      <c r="A32" s="23" t="s">
        <v>40</v>
      </c>
      <c r="B32" s="43" t="s">
        <v>165</v>
      </c>
      <c r="C32" s="15" t="s">
        <v>41</v>
      </c>
    </row>
    <row r="33" spans="1:3">
      <c r="A33" s="23" t="s">
        <v>42</v>
      </c>
      <c r="B33" s="43" t="s">
        <v>165</v>
      </c>
      <c r="C33" s="15" t="s">
        <v>43</v>
      </c>
    </row>
    <row r="34" spans="1:3">
      <c r="A34" s="23" t="s">
        <v>44</v>
      </c>
      <c r="B34" s="43" t="s">
        <v>165</v>
      </c>
      <c r="C34" s="15" t="s">
        <v>45</v>
      </c>
    </row>
    <row r="35" spans="1:3">
      <c r="A35" s="23" t="s">
        <v>46</v>
      </c>
      <c r="B35" s="43" t="s">
        <v>165</v>
      </c>
      <c r="C35" s="16" t="s">
        <v>47</v>
      </c>
    </row>
    <row r="36" spans="1:3">
      <c r="A36" s="23" t="s">
        <v>48</v>
      </c>
      <c r="B36" s="43" t="s">
        <v>165</v>
      </c>
      <c r="C36" s="15" t="s">
        <v>49</v>
      </c>
    </row>
    <row r="41" spans="1:3" ht="17">
      <c r="A41" t="s">
        <v>154</v>
      </c>
    </row>
  </sheetData>
  <mergeCells count="2">
    <mergeCell ref="A1:I1"/>
    <mergeCell ref="A2:I2"/>
  </mergeCells>
  <phoneticPr fontId="8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zoomScaleNormal="100" workbookViewId="0">
      <pane ySplit="6" topLeftCell="A7" activePane="bottomLeft" state="frozen"/>
      <selection pane="bottomLeft" activeCell="L23" sqref="L23"/>
    </sheetView>
  </sheetViews>
  <sheetFormatPr baseColWidth="10" defaultColWidth="9.5" defaultRowHeight="14"/>
  <cols>
    <col min="1" max="1" width="23.5" customWidth="1"/>
    <col min="2" max="4" width="15.1640625" customWidth="1"/>
    <col min="5" max="7" width="16.33203125" customWidth="1"/>
    <col min="8" max="8" width="18.5" customWidth="1"/>
  </cols>
  <sheetData>
    <row r="1" spans="1:10" s="33" customFormat="1" ht="31">
      <c r="A1" s="44" t="s">
        <v>108</v>
      </c>
      <c r="B1" s="44"/>
      <c r="C1" s="44"/>
      <c r="D1" s="44"/>
      <c r="E1" s="44"/>
      <c r="F1" s="44"/>
      <c r="G1" s="44"/>
      <c r="H1" s="44"/>
    </row>
    <row r="2" spans="1:10">
      <c r="A2" s="45" t="s">
        <v>50</v>
      </c>
      <c r="B2" s="45"/>
      <c r="C2" s="45"/>
      <c r="D2" s="45"/>
      <c r="E2" s="45"/>
      <c r="F2" s="45"/>
      <c r="G2" s="45"/>
      <c r="H2" s="45"/>
    </row>
    <row r="4" spans="1:10" ht="15">
      <c r="A4" s="17" t="s">
        <v>51</v>
      </c>
      <c r="B4" s="7">
        <v>5</v>
      </c>
      <c r="C4" s="12" t="s">
        <v>52</v>
      </c>
      <c r="I4" t="s">
        <v>156</v>
      </c>
      <c r="J4">
        <v>999</v>
      </c>
    </row>
    <row r="6" spans="1:10" ht="30" customHeight="1">
      <c r="A6" s="5" t="s">
        <v>16</v>
      </c>
      <c r="B6" s="6" t="s">
        <v>17</v>
      </c>
      <c r="C6" s="6" t="s">
        <v>53</v>
      </c>
      <c r="D6" s="5" t="s">
        <v>54</v>
      </c>
      <c r="E6" s="5" t="s">
        <v>32</v>
      </c>
      <c r="F6" s="5" t="s">
        <v>55</v>
      </c>
      <c r="G6" s="5" t="s">
        <v>56</v>
      </c>
      <c r="H6" s="5" t="s">
        <v>57</v>
      </c>
      <c r="I6" s="41" t="s">
        <v>155</v>
      </c>
      <c r="J6" s="41" t="s">
        <v>157</v>
      </c>
    </row>
    <row r="7" spans="1:10">
      <c r="A7" s="24">
        <v>1</v>
      </c>
      <c r="B7" s="19">
        <v>1</v>
      </c>
      <c r="C7" s="19">
        <f>J7</f>
        <v>1.001001001001001E-4</v>
      </c>
      <c r="D7" s="20">
        <f t="shared" ref="D7:D26" si="0">IF(B7="","",A7-B7)</f>
        <v>0</v>
      </c>
      <c r="E7" s="22">
        <v>1</v>
      </c>
      <c r="F7" s="22">
        <v>9.0999999999999998E-2</v>
      </c>
      <c r="G7" s="25">
        <f t="shared" ref="G7:G26" si="1">F7/1000</f>
        <v>9.1000000000000003E-5</v>
      </c>
      <c r="H7" s="26">
        <f t="shared" ref="H7:H26" si="2">$B$4</f>
        <v>5</v>
      </c>
      <c r="I7">
        <v>1E-4</v>
      </c>
      <c r="J7">
        <f>(I7/$J$4)*1000</f>
        <v>1.001001001001001E-4</v>
      </c>
    </row>
    <row r="8" spans="1:10">
      <c r="A8" s="24">
        <v>2</v>
      </c>
      <c r="B8" s="19">
        <v>2.0059999999999998</v>
      </c>
      <c r="C8" s="19">
        <f t="shared" ref="C8:C26" si="3">J8</f>
        <v>2.0020020020020021E-4</v>
      </c>
      <c r="D8" s="20">
        <f t="shared" si="0"/>
        <v>-5.9999999999997833E-3</v>
      </c>
      <c r="E8" s="22">
        <v>2</v>
      </c>
      <c r="F8" s="22">
        <v>9.1999999999999998E-2</v>
      </c>
      <c r="G8" s="25">
        <f t="shared" si="1"/>
        <v>9.2E-5</v>
      </c>
      <c r="H8" s="26">
        <f t="shared" si="2"/>
        <v>5</v>
      </c>
      <c r="I8">
        <v>2.0000000000000001E-4</v>
      </c>
      <c r="J8">
        <f t="shared" ref="J8:J26" si="4">(I8/$J$4)*1000</f>
        <v>2.0020020020020021E-4</v>
      </c>
    </row>
    <row r="9" spans="1:10">
      <c r="A9" s="24">
        <v>3</v>
      </c>
      <c r="B9" s="19">
        <v>3.0059999999999998</v>
      </c>
      <c r="C9" s="19">
        <f t="shared" si="3"/>
        <v>1.001001001001001E-4</v>
      </c>
      <c r="D9" s="20">
        <f t="shared" si="0"/>
        <v>-5.9999999999997833E-3</v>
      </c>
      <c r="E9" s="22">
        <v>3</v>
      </c>
      <c r="F9" s="22">
        <v>9.2999999999999999E-2</v>
      </c>
      <c r="G9" s="25">
        <f t="shared" si="1"/>
        <v>9.2999999999999997E-5</v>
      </c>
      <c r="H9" s="26">
        <f t="shared" si="2"/>
        <v>5</v>
      </c>
      <c r="I9">
        <v>1E-4</v>
      </c>
      <c r="J9">
        <f t="shared" si="4"/>
        <v>1.001001001001001E-4</v>
      </c>
    </row>
    <row r="10" spans="1:10">
      <c r="A10" s="24">
        <v>4</v>
      </c>
      <c r="B10" s="42">
        <v>4.0289999999999999</v>
      </c>
      <c r="C10" s="19">
        <f t="shared" si="3"/>
        <v>1.001001001001001E-4</v>
      </c>
      <c r="D10" s="20">
        <f t="shared" si="0"/>
        <v>-2.8999999999999915E-2</v>
      </c>
      <c r="E10" s="22">
        <v>4</v>
      </c>
      <c r="F10" s="22">
        <v>9.4E-2</v>
      </c>
      <c r="G10" s="25">
        <f t="shared" si="1"/>
        <v>9.3999999999999994E-5</v>
      </c>
      <c r="H10" s="26">
        <f t="shared" si="2"/>
        <v>5</v>
      </c>
      <c r="I10">
        <v>1E-4</v>
      </c>
      <c r="J10">
        <f t="shared" si="4"/>
        <v>1.001001001001001E-4</v>
      </c>
    </row>
    <row r="11" spans="1:10">
      <c r="A11" s="24">
        <v>5</v>
      </c>
      <c r="B11" s="42">
        <v>5.0179999999999998</v>
      </c>
      <c r="C11" s="19">
        <f t="shared" si="3"/>
        <v>1.001001001001001E-4</v>
      </c>
      <c r="D11" s="20">
        <f t="shared" si="0"/>
        <v>-1.7999999999999794E-2</v>
      </c>
      <c r="E11" s="22">
        <v>5</v>
      </c>
      <c r="F11" s="22">
        <v>9.5000000000000001E-2</v>
      </c>
      <c r="G11" s="25">
        <f t="shared" si="1"/>
        <v>9.5000000000000005E-5</v>
      </c>
      <c r="H11" s="26">
        <f t="shared" si="2"/>
        <v>5</v>
      </c>
      <c r="I11">
        <v>1E-4</v>
      </c>
      <c r="J11">
        <f t="shared" si="4"/>
        <v>1.001001001001001E-4</v>
      </c>
    </row>
    <row r="12" spans="1:10">
      <c r="A12" s="24">
        <v>6</v>
      </c>
      <c r="B12" s="19">
        <v>6.0119999999999996</v>
      </c>
      <c r="C12" s="19">
        <f t="shared" si="3"/>
        <v>1.001001001001001E-4</v>
      </c>
      <c r="D12" s="20">
        <f t="shared" si="0"/>
        <v>-1.1999999999999567E-2</v>
      </c>
      <c r="E12" s="22">
        <v>6</v>
      </c>
      <c r="F12" s="22">
        <v>9.6000000000000002E-2</v>
      </c>
      <c r="G12" s="25">
        <f t="shared" si="1"/>
        <v>9.6000000000000002E-5</v>
      </c>
      <c r="H12" s="26">
        <f t="shared" si="2"/>
        <v>5</v>
      </c>
      <c r="I12">
        <v>1E-4</v>
      </c>
      <c r="J12">
        <f t="shared" si="4"/>
        <v>1.001001001001001E-4</v>
      </c>
    </row>
    <row r="13" spans="1:10">
      <c r="A13" s="24">
        <v>7</v>
      </c>
      <c r="B13" s="19">
        <v>7.0339999999999998</v>
      </c>
      <c r="C13" s="19">
        <f t="shared" si="3"/>
        <v>9.0090090090090091E-5</v>
      </c>
      <c r="D13" s="20">
        <f t="shared" si="0"/>
        <v>-3.3999999999999808E-2</v>
      </c>
      <c r="E13" s="22">
        <v>7</v>
      </c>
      <c r="F13" s="22">
        <v>9.7000000000000003E-2</v>
      </c>
      <c r="G13" s="25">
        <f t="shared" si="1"/>
        <v>9.7E-5</v>
      </c>
      <c r="H13" s="26">
        <f t="shared" si="2"/>
        <v>5</v>
      </c>
      <c r="I13">
        <v>9.0000000000000006E-5</v>
      </c>
      <c r="J13">
        <f t="shared" si="4"/>
        <v>9.0090090090090091E-5</v>
      </c>
    </row>
    <row r="14" spans="1:10">
      <c r="A14" s="24">
        <v>8</v>
      </c>
      <c r="B14" s="19">
        <v>8.0449999999999999</v>
      </c>
      <c r="C14" s="19">
        <f t="shared" si="3"/>
        <v>1.001001001001001E-4</v>
      </c>
      <c r="D14" s="20">
        <f t="shared" si="0"/>
        <v>-4.4999999999999929E-2</v>
      </c>
      <c r="E14" s="22">
        <v>8</v>
      </c>
      <c r="F14" s="22">
        <v>9.8000000000000004E-2</v>
      </c>
      <c r="G14" s="25">
        <f t="shared" si="1"/>
        <v>9.800000000000001E-5</v>
      </c>
      <c r="H14" s="26">
        <f t="shared" si="2"/>
        <v>5</v>
      </c>
      <c r="I14">
        <v>1E-4</v>
      </c>
      <c r="J14">
        <f t="shared" si="4"/>
        <v>1.001001001001001E-4</v>
      </c>
    </row>
    <row r="15" spans="1:10">
      <c r="A15" s="24">
        <v>9</v>
      </c>
      <c r="B15" s="19">
        <v>9.0340000000000007</v>
      </c>
      <c r="C15" s="19">
        <f t="shared" si="3"/>
        <v>1.001001001001001E-4</v>
      </c>
      <c r="D15" s="20">
        <f t="shared" si="0"/>
        <v>-3.4000000000000696E-2</v>
      </c>
      <c r="E15" s="22">
        <v>9</v>
      </c>
      <c r="F15" s="22">
        <v>9.9000000000000005E-2</v>
      </c>
      <c r="G15" s="25">
        <f t="shared" si="1"/>
        <v>9.9000000000000008E-5</v>
      </c>
      <c r="H15" s="26">
        <f t="shared" si="2"/>
        <v>5</v>
      </c>
      <c r="I15">
        <v>1E-4</v>
      </c>
      <c r="J15">
        <f t="shared" si="4"/>
        <v>1.001001001001001E-4</v>
      </c>
    </row>
    <row r="16" spans="1:10">
      <c r="A16" s="24">
        <v>10</v>
      </c>
      <c r="B16" s="19">
        <v>10.029999999999999</v>
      </c>
      <c r="C16" s="19">
        <f t="shared" si="3"/>
        <v>9.0090090090090091E-5</v>
      </c>
      <c r="D16" s="20">
        <f t="shared" si="0"/>
        <v>-2.9999999999999361E-2</v>
      </c>
      <c r="E16" s="22">
        <v>10</v>
      </c>
      <c r="F16" s="22">
        <v>0.1</v>
      </c>
      <c r="G16" s="25">
        <f t="shared" si="1"/>
        <v>1E-4</v>
      </c>
      <c r="H16" s="26">
        <f t="shared" si="2"/>
        <v>5</v>
      </c>
      <c r="I16">
        <v>9.0000000000000006E-5</v>
      </c>
      <c r="J16">
        <f t="shared" si="4"/>
        <v>9.0090090090090091E-5</v>
      </c>
    </row>
    <row r="17" spans="1:10">
      <c r="A17" s="24">
        <v>11</v>
      </c>
      <c r="B17" s="19">
        <v>11.035</v>
      </c>
      <c r="C17" s="19">
        <f t="shared" si="3"/>
        <v>9.0090090090090091E-5</v>
      </c>
      <c r="D17" s="20">
        <f t="shared" si="0"/>
        <v>-3.5000000000000142E-2</v>
      </c>
      <c r="E17" s="22">
        <v>11</v>
      </c>
      <c r="F17" s="22">
        <v>0.10100000000000001</v>
      </c>
      <c r="G17" s="25">
        <f t="shared" si="1"/>
        <v>1.01E-4</v>
      </c>
      <c r="H17" s="26">
        <f t="shared" si="2"/>
        <v>5</v>
      </c>
      <c r="I17">
        <v>9.0000000000000006E-5</v>
      </c>
      <c r="J17">
        <f t="shared" si="4"/>
        <v>9.0090090090090091E-5</v>
      </c>
    </row>
    <row r="18" spans="1:10">
      <c r="A18" s="24">
        <v>12</v>
      </c>
      <c r="B18" s="19">
        <v>12.077999999999999</v>
      </c>
      <c r="C18" s="19">
        <f t="shared" si="3"/>
        <v>9.0090090090090091E-5</v>
      </c>
      <c r="D18" s="20">
        <f t="shared" si="0"/>
        <v>-7.7999999999999403E-2</v>
      </c>
      <c r="E18" s="22">
        <v>12</v>
      </c>
      <c r="F18" s="22">
        <v>0.10199999999999999</v>
      </c>
      <c r="G18" s="25">
        <f t="shared" si="1"/>
        <v>1.02E-4</v>
      </c>
      <c r="H18" s="26">
        <f t="shared" si="2"/>
        <v>5</v>
      </c>
      <c r="I18">
        <v>9.0000000000000006E-5</v>
      </c>
      <c r="J18">
        <f t="shared" si="4"/>
        <v>9.0090090090090091E-5</v>
      </c>
    </row>
    <row r="19" spans="1:10">
      <c r="A19" s="24">
        <v>13</v>
      </c>
      <c r="B19" s="19">
        <v>13.037000000000001</v>
      </c>
      <c r="C19" s="19">
        <f t="shared" si="3"/>
        <v>8.0080080080080078E-5</v>
      </c>
      <c r="D19" s="20">
        <f t="shared" si="0"/>
        <v>-3.700000000000081E-2</v>
      </c>
      <c r="E19" s="22">
        <v>13</v>
      </c>
      <c r="F19" s="22">
        <v>0.10299999999999999</v>
      </c>
      <c r="G19" s="25">
        <f t="shared" si="1"/>
        <v>1.03E-4</v>
      </c>
      <c r="H19" s="26">
        <f t="shared" si="2"/>
        <v>5</v>
      </c>
      <c r="I19">
        <v>8.0000000000000007E-5</v>
      </c>
      <c r="J19">
        <f t="shared" si="4"/>
        <v>8.0080080080080078E-5</v>
      </c>
    </row>
    <row r="20" spans="1:10">
      <c r="A20" s="24">
        <v>14</v>
      </c>
      <c r="B20" s="19">
        <v>14.089</v>
      </c>
      <c r="C20" s="19">
        <f t="shared" si="3"/>
        <v>8.0080080080080078E-5</v>
      </c>
      <c r="D20" s="20">
        <f t="shared" si="0"/>
        <v>-8.9000000000000412E-2</v>
      </c>
      <c r="E20" s="22">
        <v>14</v>
      </c>
      <c r="F20" s="22">
        <v>0.104</v>
      </c>
      <c r="G20" s="25">
        <f t="shared" si="1"/>
        <v>1.0399999999999999E-4</v>
      </c>
      <c r="H20" s="26">
        <f t="shared" si="2"/>
        <v>5</v>
      </c>
      <c r="I20">
        <v>8.0000000000000007E-5</v>
      </c>
      <c r="J20">
        <f t="shared" si="4"/>
        <v>8.0080080080080078E-5</v>
      </c>
    </row>
    <row r="21" spans="1:10">
      <c r="A21" s="24">
        <v>15</v>
      </c>
      <c r="B21" s="19">
        <v>15.028</v>
      </c>
      <c r="C21" s="19">
        <f t="shared" si="3"/>
        <v>8.0080080080080078E-5</v>
      </c>
      <c r="D21" s="20">
        <f t="shared" si="0"/>
        <v>-2.8000000000000469E-2</v>
      </c>
      <c r="E21" s="22">
        <v>15</v>
      </c>
      <c r="F21" s="22">
        <v>0.105</v>
      </c>
      <c r="G21" s="25">
        <f t="shared" si="1"/>
        <v>1.0499999999999999E-4</v>
      </c>
      <c r="H21" s="26">
        <f t="shared" si="2"/>
        <v>5</v>
      </c>
      <c r="I21">
        <v>8.0000000000000007E-5</v>
      </c>
      <c r="J21">
        <f t="shared" si="4"/>
        <v>8.0080080080080078E-5</v>
      </c>
    </row>
    <row r="22" spans="1:10">
      <c r="A22" s="24">
        <v>16</v>
      </c>
      <c r="B22" s="19">
        <v>16.029</v>
      </c>
      <c r="C22" s="19">
        <f t="shared" si="3"/>
        <v>9.0090090090090091E-5</v>
      </c>
      <c r="D22" s="20">
        <f t="shared" si="0"/>
        <v>-2.8999999999999915E-2</v>
      </c>
      <c r="E22" s="22">
        <v>16</v>
      </c>
      <c r="F22" s="22">
        <v>0.106</v>
      </c>
      <c r="G22" s="25">
        <f t="shared" si="1"/>
        <v>1.06E-4</v>
      </c>
      <c r="H22" s="26">
        <f t="shared" si="2"/>
        <v>5</v>
      </c>
      <c r="I22">
        <v>9.0000000000000006E-5</v>
      </c>
      <c r="J22">
        <f t="shared" si="4"/>
        <v>9.0090090090090091E-5</v>
      </c>
    </row>
    <row r="23" spans="1:10">
      <c r="A23" s="24">
        <v>17</v>
      </c>
      <c r="B23" s="19">
        <v>17.087</v>
      </c>
      <c r="C23" s="19">
        <f t="shared" si="3"/>
        <v>8.0080080080080078E-5</v>
      </c>
      <c r="D23" s="20">
        <f t="shared" si="0"/>
        <v>-8.6999999999999744E-2</v>
      </c>
      <c r="E23" s="22">
        <v>17</v>
      </c>
      <c r="F23" s="22">
        <v>0.107</v>
      </c>
      <c r="G23" s="25">
        <f t="shared" si="1"/>
        <v>1.07E-4</v>
      </c>
      <c r="H23" s="26">
        <f t="shared" si="2"/>
        <v>5</v>
      </c>
      <c r="I23">
        <v>8.0000000000000007E-5</v>
      </c>
      <c r="J23">
        <f t="shared" si="4"/>
        <v>8.0080080080080078E-5</v>
      </c>
    </row>
    <row r="24" spans="1:10">
      <c r="A24" s="24">
        <v>18</v>
      </c>
      <c r="B24" s="19">
        <v>18.077999999999999</v>
      </c>
      <c r="C24" s="19">
        <f t="shared" si="3"/>
        <v>8.0080080080080078E-5</v>
      </c>
      <c r="D24" s="20">
        <f t="shared" si="0"/>
        <v>-7.7999999999999403E-2</v>
      </c>
      <c r="E24" s="22">
        <v>18</v>
      </c>
      <c r="F24" s="22">
        <v>0.108</v>
      </c>
      <c r="G24" s="25">
        <f t="shared" si="1"/>
        <v>1.08E-4</v>
      </c>
      <c r="H24" s="26">
        <f t="shared" si="2"/>
        <v>5</v>
      </c>
      <c r="I24">
        <v>8.0000000000000007E-5</v>
      </c>
      <c r="J24">
        <f t="shared" si="4"/>
        <v>8.0080080080080078E-5</v>
      </c>
    </row>
    <row r="25" spans="1:10">
      <c r="A25" s="24">
        <v>19</v>
      </c>
      <c r="B25" s="19">
        <v>19.027000000000001</v>
      </c>
      <c r="C25" s="19">
        <f t="shared" si="3"/>
        <v>8.0080080080080078E-5</v>
      </c>
      <c r="D25" s="20">
        <f t="shared" si="0"/>
        <v>-2.7000000000001023E-2</v>
      </c>
      <c r="E25" s="22">
        <v>19</v>
      </c>
      <c r="F25" s="22">
        <v>0.109</v>
      </c>
      <c r="G25" s="25">
        <f t="shared" si="1"/>
        <v>1.0899999999999999E-4</v>
      </c>
      <c r="H25" s="26">
        <f t="shared" si="2"/>
        <v>5</v>
      </c>
      <c r="I25">
        <v>8.0000000000000007E-5</v>
      </c>
      <c r="J25">
        <f t="shared" si="4"/>
        <v>8.0080080080080078E-5</v>
      </c>
    </row>
    <row r="26" spans="1:10">
      <c r="A26" s="24">
        <v>20</v>
      </c>
      <c r="B26" s="19">
        <v>20.077999999999999</v>
      </c>
      <c r="C26" s="19">
        <f t="shared" si="3"/>
        <v>1.001001001001001E-4</v>
      </c>
      <c r="D26" s="20">
        <f t="shared" si="0"/>
        <v>-7.7999999999999403E-2</v>
      </c>
      <c r="E26" s="22">
        <v>20</v>
      </c>
      <c r="F26" s="22">
        <v>0.11</v>
      </c>
      <c r="G26" s="25">
        <f t="shared" si="1"/>
        <v>1.1E-4</v>
      </c>
      <c r="H26" s="26">
        <f t="shared" si="2"/>
        <v>5</v>
      </c>
      <c r="I26">
        <v>1E-4</v>
      </c>
      <c r="J26">
        <f t="shared" si="4"/>
        <v>1.001001001001001E-4</v>
      </c>
    </row>
    <row r="28" spans="1:10">
      <c r="A28" s="12" t="s">
        <v>58</v>
      </c>
    </row>
    <row r="30" spans="1:10">
      <c r="A30" s="2" t="s">
        <v>36</v>
      </c>
    </row>
    <row r="31" spans="1:10">
      <c r="A31" s="13" t="s">
        <v>37</v>
      </c>
      <c r="B31" s="13" t="s">
        <v>38</v>
      </c>
      <c r="C31" s="13" t="s">
        <v>39</v>
      </c>
    </row>
    <row r="32" spans="1:10">
      <c r="A32" s="27" t="s">
        <v>40</v>
      </c>
      <c r="B32" s="43" t="s">
        <v>165</v>
      </c>
      <c r="C32" s="16" t="s">
        <v>59</v>
      </c>
    </row>
    <row r="33" spans="1:3">
      <c r="A33" s="27" t="s">
        <v>60</v>
      </c>
      <c r="B33" s="43" t="s">
        <v>165</v>
      </c>
      <c r="C33" s="15" t="s">
        <v>61</v>
      </c>
    </row>
    <row r="34" spans="1:3">
      <c r="A34" s="27" t="s">
        <v>62</v>
      </c>
      <c r="B34" s="43" t="s">
        <v>165</v>
      </c>
      <c r="C34" s="15" t="s">
        <v>63</v>
      </c>
    </row>
    <row r="35" spans="1:3">
      <c r="A35" s="27" t="s">
        <v>46</v>
      </c>
      <c r="B35" s="43" t="s">
        <v>165</v>
      </c>
      <c r="C35" s="16" t="s">
        <v>64</v>
      </c>
    </row>
    <row r="36" spans="1:3">
      <c r="A36" s="27" t="s">
        <v>48</v>
      </c>
      <c r="B36" s="43" t="s">
        <v>165</v>
      </c>
      <c r="C36" s="15" t="s">
        <v>65</v>
      </c>
    </row>
    <row r="41" spans="1:3" ht="17">
      <c r="A41" t="s">
        <v>154</v>
      </c>
    </row>
  </sheetData>
  <mergeCells count="2">
    <mergeCell ref="A1:H1"/>
    <mergeCell ref="A2:H2"/>
  </mergeCells>
  <phoneticPr fontId="8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"/>
  <sheetViews>
    <sheetView zoomScaleNormal="100" workbookViewId="0">
      <pane ySplit="4" topLeftCell="A5" activePane="bottomLeft" state="frozen"/>
      <selection pane="bottomLeft" activeCell="G26" sqref="G26"/>
    </sheetView>
  </sheetViews>
  <sheetFormatPr baseColWidth="10" defaultColWidth="9.5" defaultRowHeight="14"/>
  <cols>
    <col min="1" max="2" width="28.33203125" customWidth="1"/>
    <col min="3" max="3" width="13" customWidth="1"/>
    <col min="4" max="4" width="17.33203125" customWidth="1"/>
    <col min="5" max="5" width="15.1640625" customWidth="1"/>
    <col min="6" max="6" width="13" customWidth="1"/>
    <col min="7" max="7" width="61" customWidth="1"/>
  </cols>
  <sheetData>
    <row r="1" spans="1:7" s="33" customFormat="1" ht="31">
      <c r="A1" s="44" t="s">
        <v>109</v>
      </c>
      <c r="B1" s="44"/>
      <c r="C1" s="44"/>
      <c r="D1" s="44"/>
      <c r="E1" s="44"/>
      <c r="F1" s="44"/>
      <c r="G1" s="44"/>
    </row>
    <row r="2" spans="1:7">
      <c r="A2" s="45" t="s">
        <v>66</v>
      </c>
      <c r="B2" s="45"/>
      <c r="C2" s="45"/>
      <c r="D2" s="45"/>
      <c r="E2" s="45"/>
      <c r="F2" s="45"/>
      <c r="G2" s="45"/>
    </row>
    <row r="4" spans="1:7" ht="30" customHeight="1">
      <c r="A4" s="6" t="s">
        <v>67</v>
      </c>
      <c r="B4" s="6" t="s">
        <v>68</v>
      </c>
      <c r="C4" s="6" t="s">
        <v>69</v>
      </c>
      <c r="D4" s="6" t="s">
        <v>70</v>
      </c>
      <c r="E4" s="6" t="s">
        <v>71</v>
      </c>
      <c r="F4" s="6" t="s">
        <v>72</v>
      </c>
      <c r="G4" s="6" t="s">
        <v>73</v>
      </c>
    </row>
    <row r="5" spans="1:7">
      <c r="A5" s="14" t="s">
        <v>158</v>
      </c>
      <c r="B5" s="29" t="s">
        <v>74</v>
      </c>
      <c r="C5" s="19"/>
      <c r="D5" s="22">
        <v>5</v>
      </c>
      <c r="E5" s="22">
        <v>5</v>
      </c>
      <c r="F5" s="21" t="str">
        <f t="shared" ref="F5:F13" si="0">IF(OR(C5="",D5=""),"",IF(D5=0,"",(C5-D5)/D5))</f>
        <v/>
      </c>
      <c r="G5" s="15" t="s">
        <v>112</v>
      </c>
    </row>
    <row r="6" spans="1:7">
      <c r="A6" s="14" t="s">
        <v>158</v>
      </c>
      <c r="B6" s="29" t="s">
        <v>75</v>
      </c>
      <c r="C6" s="19"/>
      <c r="D6" s="22">
        <v>3.536</v>
      </c>
      <c r="E6" s="22">
        <v>3.536</v>
      </c>
      <c r="F6" s="21" t="str">
        <f t="shared" si="0"/>
        <v/>
      </c>
      <c r="G6" s="16" t="s">
        <v>113</v>
      </c>
    </row>
    <row r="7" spans="1:7">
      <c r="A7" s="14" t="s">
        <v>159</v>
      </c>
      <c r="B7" s="29" t="s">
        <v>74</v>
      </c>
      <c r="C7" s="19"/>
      <c r="D7" s="22">
        <v>4.4420000000000002</v>
      </c>
      <c r="E7" s="22">
        <v>4.3</v>
      </c>
      <c r="F7" s="21" t="str">
        <f t="shared" si="0"/>
        <v/>
      </c>
      <c r="G7" s="16" t="s">
        <v>114</v>
      </c>
    </row>
    <row r="8" spans="1:7">
      <c r="A8" s="14" t="s">
        <v>159</v>
      </c>
      <c r="B8" s="29" t="s">
        <v>75</v>
      </c>
      <c r="C8" s="19"/>
      <c r="D8" s="22">
        <v>2.1579999999999999</v>
      </c>
      <c r="E8" s="22">
        <v>2.15</v>
      </c>
      <c r="F8" s="21" t="str">
        <f t="shared" si="0"/>
        <v/>
      </c>
      <c r="G8" s="16" t="s">
        <v>115</v>
      </c>
    </row>
    <row r="9" spans="1:7">
      <c r="A9" s="14" t="s">
        <v>159</v>
      </c>
      <c r="B9" s="29" t="s">
        <v>76</v>
      </c>
      <c r="C9" s="19"/>
      <c r="D9" s="22">
        <v>1.3340000000000001</v>
      </c>
      <c r="E9" s="22">
        <v>1.369</v>
      </c>
      <c r="F9" s="21" t="str">
        <f t="shared" si="0"/>
        <v/>
      </c>
      <c r="G9" s="16" t="s">
        <v>116</v>
      </c>
    </row>
    <row r="10" spans="1:7">
      <c r="A10" s="14" t="s">
        <v>160</v>
      </c>
      <c r="B10" s="29" t="s">
        <v>74</v>
      </c>
      <c r="C10" s="19"/>
      <c r="D10" s="22">
        <v>4.4400000000000004</v>
      </c>
      <c r="E10" s="22"/>
      <c r="F10" s="21" t="str">
        <f t="shared" si="0"/>
        <v/>
      </c>
      <c r="G10" s="15" t="s">
        <v>117</v>
      </c>
    </row>
    <row r="11" spans="1:7">
      <c r="A11" s="14" t="s">
        <v>160</v>
      </c>
      <c r="B11" s="29" t="s">
        <v>75</v>
      </c>
      <c r="C11" s="19"/>
      <c r="D11" s="22">
        <v>2.8769999999999998</v>
      </c>
      <c r="E11" s="22"/>
      <c r="F11" s="21" t="str">
        <f t="shared" si="0"/>
        <v/>
      </c>
      <c r="G11" s="16" t="s">
        <v>118</v>
      </c>
    </row>
    <row r="12" spans="1:7">
      <c r="A12" s="14" t="s">
        <v>160</v>
      </c>
      <c r="B12" s="29" t="s">
        <v>76</v>
      </c>
      <c r="C12" s="19"/>
      <c r="D12" s="22">
        <v>2.6920000000000002</v>
      </c>
      <c r="E12" s="22"/>
      <c r="F12" s="21" t="str">
        <f t="shared" si="0"/>
        <v/>
      </c>
      <c r="G12" s="16" t="s">
        <v>119</v>
      </c>
    </row>
    <row r="13" spans="1:7">
      <c r="A13" s="14" t="s">
        <v>160</v>
      </c>
      <c r="B13" s="23" t="s">
        <v>77</v>
      </c>
      <c r="C13" s="19"/>
      <c r="D13" s="22">
        <v>3.222</v>
      </c>
      <c r="E13" s="22">
        <v>7.2</v>
      </c>
      <c r="F13" s="21" t="str">
        <f t="shared" si="0"/>
        <v/>
      </c>
      <c r="G13" s="15" t="s">
        <v>120</v>
      </c>
    </row>
    <row r="14" spans="1:7">
      <c r="B14" s="30"/>
      <c r="C14" s="30"/>
      <c r="D14" s="30"/>
      <c r="E14" s="30"/>
      <c r="F14" s="30"/>
    </row>
    <row r="15" spans="1:7" ht="15">
      <c r="A15" s="14" t="s">
        <v>78</v>
      </c>
      <c r="B15" s="31" t="s">
        <v>79</v>
      </c>
      <c r="C15" s="21" t="str">
        <f>IF(OR(C9="",C8="",C8=0),"",C9^2/C8^2)</f>
        <v/>
      </c>
      <c r="D15" s="32">
        <v>0.38229999999999997</v>
      </c>
      <c r="E15" s="32">
        <v>0.40529999999999999</v>
      </c>
      <c r="F15" s="21" t="str">
        <f>IF(OR(C15="",D15=""),"",IF(D15=0,"",(C15-D15)/D15))</f>
        <v/>
      </c>
      <c r="G15" s="15" t="s">
        <v>80</v>
      </c>
    </row>
    <row r="16" spans="1:7" ht="15">
      <c r="A16" s="14" t="s">
        <v>78</v>
      </c>
      <c r="B16" s="31" t="s">
        <v>81</v>
      </c>
      <c r="C16" s="21" t="str">
        <f>IF(OR(C12="",C11="",C11=0),"",C12^2/C11^2)</f>
        <v/>
      </c>
      <c r="D16" s="32">
        <v>0.87580000000000002</v>
      </c>
      <c r="E16" s="32"/>
      <c r="F16" s="21" t="str">
        <f>IF(OR(C16="",D16=""),"",IF(D16=0,"",(C16-D16)/D16))</f>
        <v/>
      </c>
      <c r="G16" s="15" t="s">
        <v>82</v>
      </c>
    </row>
    <row r="18" spans="1:3">
      <c r="A18" s="1" t="s">
        <v>83</v>
      </c>
    </row>
    <row r="20" spans="1:3">
      <c r="A20" s="2" t="s">
        <v>36</v>
      </c>
    </row>
    <row r="21" spans="1:3">
      <c r="A21" s="13" t="s">
        <v>37</v>
      </c>
      <c r="B21" s="13" t="s">
        <v>38</v>
      </c>
      <c r="C21" s="13" t="s">
        <v>39</v>
      </c>
    </row>
    <row r="22" spans="1:3">
      <c r="A22" s="23" t="s">
        <v>84</v>
      </c>
      <c r="B22" s="28"/>
      <c r="C22" s="16" t="s">
        <v>85</v>
      </c>
    </row>
    <row r="23" spans="1:3">
      <c r="A23" s="23" t="s">
        <v>86</v>
      </c>
      <c r="B23" s="28"/>
      <c r="C23" s="15" t="s">
        <v>87</v>
      </c>
    </row>
    <row r="24" spans="1:3">
      <c r="A24" s="23" t="s">
        <v>88</v>
      </c>
      <c r="B24" s="28"/>
      <c r="C24" s="15" t="s">
        <v>89</v>
      </c>
    </row>
    <row r="25" spans="1:3">
      <c r="A25" s="23" t="s">
        <v>90</v>
      </c>
      <c r="B25" s="28"/>
      <c r="C25" s="16" t="s">
        <v>91</v>
      </c>
    </row>
    <row r="26" spans="1:3">
      <c r="A26" s="23" t="s">
        <v>48</v>
      </c>
      <c r="B26" s="28"/>
      <c r="C26" s="15" t="s">
        <v>65</v>
      </c>
    </row>
    <row r="28" spans="1:3">
      <c r="A28" s="2" t="s">
        <v>121</v>
      </c>
    </row>
    <row r="29" spans="1:3">
      <c r="A29" s="2" t="s">
        <v>122</v>
      </c>
      <c r="B29" s="3" t="s">
        <v>123</v>
      </c>
    </row>
    <row r="30" spans="1:3">
      <c r="A30" s="2" t="s">
        <v>124</v>
      </c>
      <c r="B30" s="3" t="s">
        <v>125</v>
      </c>
    </row>
    <row r="31" spans="1:3">
      <c r="A31" s="2" t="s">
        <v>126</v>
      </c>
      <c r="B31" s="3" t="s">
        <v>127</v>
      </c>
    </row>
    <row r="32" spans="1:3">
      <c r="A32" s="2" t="s">
        <v>128</v>
      </c>
      <c r="B32" s="3" t="s">
        <v>129</v>
      </c>
    </row>
    <row r="33" spans="1:2">
      <c r="A33" s="2" t="s">
        <v>130</v>
      </c>
      <c r="B33" s="3" t="s">
        <v>131</v>
      </c>
    </row>
    <row r="34" spans="1:2">
      <c r="A34" s="2" t="s">
        <v>132</v>
      </c>
      <c r="B34" s="3" t="s">
        <v>133</v>
      </c>
    </row>
    <row r="35" spans="1:2">
      <c r="A35" s="2" t="s">
        <v>134</v>
      </c>
      <c r="B35" s="3" t="s">
        <v>135</v>
      </c>
    </row>
    <row r="36" spans="1:2">
      <c r="A36" s="2" t="s">
        <v>136</v>
      </c>
      <c r="B36" s="3" t="s">
        <v>137</v>
      </c>
    </row>
  </sheetData>
  <mergeCells count="2">
    <mergeCell ref="A1:G1"/>
    <mergeCell ref="A2:G2"/>
  </mergeCells>
  <phoneticPr fontId="8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"/>
  <sheetViews>
    <sheetView zoomScaleNormal="100" workbookViewId="0">
      <pane ySplit="4" topLeftCell="A5" activePane="bottomLeft" state="frozen"/>
      <selection pane="bottomLeft" activeCell="G29" sqref="G29"/>
    </sheetView>
  </sheetViews>
  <sheetFormatPr baseColWidth="10" defaultColWidth="9.5" defaultRowHeight="14"/>
  <cols>
    <col min="1" max="2" width="28.33203125" customWidth="1"/>
    <col min="3" max="3" width="13" customWidth="1"/>
    <col min="4" max="4" width="17.33203125" customWidth="1"/>
    <col min="5" max="5" width="15.1640625" customWidth="1"/>
    <col min="6" max="6" width="13" customWidth="1"/>
    <col min="7" max="7" width="61" customWidth="1"/>
  </cols>
  <sheetData>
    <row r="1" spans="1:7" s="33" customFormat="1" ht="31">
      <c r="A1" s="44" t="s">
        <v>110</v>
      </c>
      <c r="B1" s="44"/>
      <c r="C1" s="44"/>
      <c r="D1" s="44"/>
      <c r="E1" s="44"/>
      <c r="F1" s="44"/>
      <c r="G1" s="44"/>
    </row>
    <row r="2" spans="1:7">
      <c r="A2" s="45" t="s">
        <v>92</v>
      </c>
      <c r="B2" s="45"/>
      <c r="C2" s="45"/>
      <c r="D2" s="45"/>
      <c r="E2" s="45"/>
      <c r="F2" s="45"/>
      <c r="G2" s="45"/>
    </row>
    <row r="4" spans="1:7" ht="30" customHeight="1">
      <c r="A4" s="6" t="s">
        <v>67</v>
      </c>
      <c r="B4" s="6" t="s">
        <v>68</v>
      </c>
      <c r="C4" s="6" t="s">
        <v>69</v>
      </c>
      <c r="D4" s="6" t="s">
        <v>70</v>
      </c>
      <c r="E4" s="6" t="s">
        <v>71</v>
      </c>
      <c r="F4" s="6" t="s">
        <v>72</v>
      </c>
      <c r="G4" s="6" t="s">
        <v>73</v>
      </c>
    </row>
    <row r="5" spans="1:7">
      <c r="A5" s="14" t="s">
        <v>161</v>
      </c>
      <c r="B5" s="34" t="s">
        <v>74</v>
      </c>
      <c r="C5" s="35"/>
      <c r="D5" s="36">
        <v>2.5</v>
      </c>
      <c r="E5" s="36">
        <v>2.5</v>
      </c>
      <c r="F5" s="37" t="str">
        <f t="shared" ref="F5:F13" si="0">IF(OR(C5="",D5=""),"",IF(D5=0,"",(C5-D5)/D5))</f>
        <v/>
      </c>
      <c r="G5" s="16" t="s">
        <v>138</v>
      </c>
    </row>
    <row r="6" spans="1:7">
      <c r="A6" s="14" t="s">
        <v>161</v>
      </c>
      <c r="B6" s="34" t="s">
        <v>75</v>
      </c>
      <c r="C6" s="35"/>
      <c r="D6" s="36">
        <v>1.768</v>
      </c>
      <c r="E6" s="36">
        <v>1.768</v>
      </c>
      <c r="F6" s="37" t="str">
        <f t="shared" si="0"/>
        <v/>
      </c>
      <c r="G6" s="16" t="s">
        <v>139</v>
      </c>
    </row>
    <row r="7" spans="1:7">
      <c r="A7" s="14" t="s">
        <v>162</v>
      </c>
      <c r="B7" s="34" t="s">
        <v>74</v>
      </c>
      <c r="C7" s="35"/>
      <c r="D7" s="36">
        <v>1.464</v>
      </c>
      <c r="E7" s="36">
        <v>1.1000000000000001</v>
      </c>
      <c r="F7" s="37" t="str">
        <f t="shared" si="0"/>
        <v/>
      </c>
      <c r="G7" s="15" t="s">
        <v>140</v>
      </c>
    </row>
    <row r="8" spans="1:7">
      <c r="A8" s="14" t="s">
        <v>162</v>
      </c>
      <c r="B8" s="34" t="s">
        <v>75</v>
      </c>
      <c r="C8" s="35"/>
      <c r="D8" s="36">
        <v>0.91400000000000003</v>
      </c>
      <c r="E8" s="36">
        <v>0.77800000000000002</v>
      </c>
      <c r="F8" s="37" t="str">
        <f t="shared" si="0"/>
        <v/>
      </c>
      <c r="G8" s="15" t="s">
        <v>141</v>
      </c>
    </row>
    <row r="9" spans="1:7">
      <c r="A9" s="14" t="s">
        <v>162</v>
      </c>
      <c r="B9" s="34" t="s">
        <v>76</v>
      </c>
      <c r="C9" s="35"/>
      <c r="D9" s="36">
        <v>0.72799999999999998</v>
      </c>
      <c r="E9" s="36">
        <v>0.7</v>
      </c>
      <c r="F9" s="37" t="str">
        <f t="shared" si="0"/>
        <v/>
      </c>
      <c r="G9" s="15" t="s">
        <v>142</v>
      </c>
    </row>
    <row r="10" spans="1:7">
      <c r="A10" s="14" t="s">
        <v>163</v>
      </c>
      <c r="B10" s="34" t="s">
        <v>74</v>
      </c>
      <c r="C10" s="35"/>
      <c r="D10" s="36">
        <v>1.4450000000000001</v>
      </c>
      <c r="E10" s="36"/>
      <c r="F10" s="37" t="str">
        <f t="shared" si="0"/>
        <v/>
      </c>
      <c r="G10" s="16" t="s">
        <v>143</v>
      </c>
    </row>
    <row r="11" spans="1:7">
      <c r="A11" s="14" t="s">
        <v>163</v>
      </c>
      <c r="B11" s="27" t="s">
        <v>77</v>
      </c>
      <c r="C11" s="35"/>
      <c r="D11" s="36">
        <v>0.61</v>
      </c>
      <c r="E11" s="36">
        <v>0.91700000000000004</v>
      </c>
      <c r="F11" s="37" t="str">
        <f t="shared" si="0"/>
        <v/>
      </c>
      <c r="G11" s="15" t="s">
        <v>144</v>
      </c>
    </row>
    <row r="12" spans="1:7">
      <c r="A12" s="14" t="s">
        <v>164</v>
      </c>
      <c r="B12" s="34" t="s">
        <v>74</v>
      </c>
      <c r="C12" s="35"/>
      <c r="D12" s="36">
        <v>1.464</v>
      </c>
      <c r="E12" s="36"/>
      <c r="F12" s="37" t="str">
        <f t="shared" si="0"/>
        <v/>
      </c>
      <c r="G12" s="15" t="s">
        <v>145</v>
      </c>
    </row>
    <row r="13" spans="1:7">
      <c r="A13" s="14" t="s">
        <v>164</v>
      </c>
      <c r="B13" s="34" t="s">
        <v>93</v>
      </c>
      <c r="C13" s="35"/>
      <c r="D13" s="36"/>
      <c r="E13" s="36"/>
      <c r="F13" s="37" t="str">
        <f t="shared" si="0"/>
        <v/>
      </c>
      <c r="G13" s="15" t="s">
        <v>146</v>
      </c>
    </row>
    <row r="14" spans="1:7">
      <c r="B14" s="38"/>
      <c r="C14" s="38"/>
      <c r="D14" s="38"/>
      <c r="E14" s="38"/>
      <c r="F14" s="38"/>
    </row>
    <row r="15" spans="1:7" ht="15">
      <c r="A15" s="14" t="s">
        <v>78</v>
      </c>
      <c r="B15" s="39" t="s">
        <v>94</v>
      </c>
      <c r="C15" s="37" t="str">
        <f>IF(OR(C9="",C8="",C8=0),"",C9^2/C8^2)</f>
        <v/>
      </c>
      <c r="D15" s="40">
        <v>0.63539999999999996</v>
      </c>
      <c r="E15" s="40">
        <v>0.81059999999999999</v>
      </c>
      <c r="F15" s="37" t="str">
        <f>IF(OR(C15="",D15=""),"",IF(D15=0,"",(C15-D15)/D15))</f>
        <v/>
      </c>
      <c r="G15" s="15" t="s">
        <v>95</v>
      </c>
    </row>
    <row r="16" spans="1:7" ht="15">
      <c r="A16" s="14" t="s">
        <v>78</v>
      </c>
      <c r="B16" s="39" t="s">
        <v>96</v>
      </c>
      <c r="C16" s="37" t="str">
        <f>IF(OR(C11="",C10="",C10=0),"",C11/C10)</f>
        <v/>
      </c>
      <c r="D16" s="40">
        <v>0.42199999999999999</v>
      </c>
      <c r="E16" s="40">
        <v>0.83330000000000004</v>
      </c>
      <c r="F16" s="37" t="str">
        <f>IF(OR(C16="",D16=""),"",IF(D16=0,"",(C16-D16)/D16))</f>
        <v/>
      </c>
      <c r="G16" s="15" t="s">
        <v>97</v>
      </c>
    </row>
    <row r="18" spans="1:3">
      <c r="A18" s="1" t="s">
        <v>98</v>
      </c>
    </row>
    <row r="20" spans="1:3">
      <c r="A20" s="2" t="s">
        <v>36</v>
      </c>
    </row>
    <row r="21" spans="1:3">
      <c r="A21" s="13" t="s">
        <v>37</v>
      </c>
      <c r="B21" s="13" t="s">
        <v>38</v>
      </c>
      <c r="C21" s="13" t="s">
        <v>39</v>
      </c>
    </row>
    <row r="22" spans="1:3">
      <c r="A22" s="23" t="s">
        <v>99</v>
      </c>
      <c r="B22" s="28"/>
      <c r="C22" s="15" t="s">
        <v>100</v>
      </c>
    </row>
    <row r="23" spans="1:3">
      <c r="A23" s="23" t="s">
        <v>101</v>
      </c>
      <c r="B23" s="28"/>
      <c r="C23" s="15" t="s">
        <v>102</v>
      </c>
    </row>
    <row r="24" spans="1:3">
      <c r="A24" s="23" t="s">
        <v>103</v>
      </c>
      <c r="B24" s="28"/>
      <c r="C24" s="15" t="s">
        <v>104</v>
      </c>
    </row>
    <row r="25" spans="1:3">
      <c r="A25" s="23" t="s">
        <v>105</v>
      </c>
      <c r="B25" s="28"/>
      <c r="C25" s="16" t="s">
        <v>106</v>
      </c>
    </row>
    <row r="26" spans="1:3">
      <c r="A26" s="23" t="s">
        <v>48</v>
      </c>
      <c r="B26" s="28"/>
      <c r="C26" s="15" t="s">
        <v>65</v>
      </c>
    </row>
    <row r="28" spans="1:3">
      <c r="A28" s="2" t="s">
        <v>121</v>
      </c>
    </row>
    <row r="29" spans="1:3">
      <c r="A29" s="2" t="s">
        <v>122</v>
      </c>
      <c r="B29" s="3" t="s">
        <v>147</v>
      </c>
    </row>
    <row r="30" spans="1:3">
      <c r="A30" s="2" t="s">
        <v>124</v>
      </c>
      <c r="B30" s="3" t="s">
        <v>148</v>
      </c>
    </row>
    <row r="31" spans="1:3">
      <c r="A31" s="2" t="s">
        <v>126</v>
      </c>
      <c r="B31" s="3" t="s">
        <v>149</v>
      </c>
    </row>
    <row r="32" spans="1:3">
      <c r="A32" s="2" t="s">
        <v>128</v>
      </c>
      <c r="B32" s="3" t="s">
        <v>150</v>
      </c>
    </row>
    <row r="33" spans="1:2">
      <c r="A33" s="2" t="s">
        <v>130</v>
      </c>
      <c r="B33" s="3" t="s">
        <v>151</v>
      </c>
    </row>
    <row r="34" spans="1:2">
      <c r="A34" s="2" t="s">
        <v>132</v>
      </c>
      <c r="B34" s="3" t="s">
        <v>152</v>
      </c>
    </row>
    <row r="35" spans="1:2">
      <c r="A35" s="2" t="s">
        <v>134</v>
      </c>
      <c r="B35" s="3" t="s">
        <v>153</v>
      </c>
    </row>
  </sheetData>
  <mergeCells count="2">
    <mergeCell ref="A1:G1"/>
    <mergeCell ref="A2:G2"/>
  </mergeCells>
  <phoneticPr fontId="8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說明</vt:lpstr>
      <vt:lpstr>實驗一 順偏</vt:lpstr>
      <vt:lpstr>實驗二 逆偏</vt:lpstr>
      <vt:lpstr>實驗三 半波</vt:lpstr>
      <vt:lpstr>實驗四 橋式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陳欣怡</cp:lastModifiedBy>
  <cp:revision>1</cp:revision>
  <dcterms:created xsi:type="dcterms:W3CDTF">2026-10-02T12:45:14Z</dcterms:created>
  <dcterms:modified xsi:type="dcterms:W3CDTF">2026-10-03T04:45:12Z</dcterms:modified>
  <dc:language>zh-Hant</dc:language>
</cp:coreProperties>
</file>