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實驗一 順偏" sheetId="2" state="visible" r:id="rId4"/>
    <sheet name="實驗二 逆偏" sheetId="3" state="visible" r:id="rId5"/>
    <sheet name="實驗三 半波" sheetId="4" state="visible" r:id="rId6"/>
    <sheet name="實驗四 橋式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<sst xmlns="http://schemas.openxmlformats.org/spreadsheetml/2006/main" count="195" uniqueCount="137">
  <si>
    <r>
      <rPr>
        <b val="true"/>
        <sz val="14"/>
        <rFont val="Arial"/>
        <family val="0"/>
        <charset val="1"/>
      </rPr>
      <t xml:space="preserve">Lab 1 </t>
    </r>
    <r>
      <rPr>
        <b val="true"/>
        <sz val="14"/>
        <rFont val="Linux Libertine G"/>
        <family val="2"/>
      </rPr>
      <t xml:space="preserve">二極體實驗　數據記錄簿</t>
    </r>
  </si>
  <si>
    <r>
      <rPr>
        <sz val="9"/>
        <color rgb="FF808080"/>
        <rFont val="Linux Libertine G"/>
        <family val="2"/>
      </rPr>
      <t xml:space="preserve">電子學實作系列第 </t>
    </r>
    <r>
      <rPr>
        <sz val="9"/>
        <color rgb="FF808080"/>
        <rFont val="Arial"/>
        <family val="0"/>
        <charset val="1"/>
      </rPr>
      <t xml:space="preserve">3 </t>
    </r>
    <r>
      <rPr>
        <sz val="9"/>
        <color rgb="FF808080"/>
        <rFont val="Linux Libertine G"/>
        <family val="2"/>
      </rPr>
      <t xml:space="preserve">週．</t>
    </r>
    <r>
      <rPr>
        <sz val="9"/>
        <color rgb="FF808080"/>
        <rFont val="Arial"/>
        <family val="0"/>
        <charset val="1"/>
      </rPr>
      <t xml:space="preserve">App_Lab1.pdf </t>
    </r>
    <r>
      <rPr>
        <sz val="9"/>
        <color rgb="FF808080"/>
        <rFont val="Linux Libertine G"/>
        <family val="2"/>
      </rPr>
      <t xml:space="preserve">四個實驗．當天用筆電直接填</t>
    </r>
  </si>
  <si>
    <t xml:space="preserve">怎麼用</t>
  </si>
  <si>
    <t xml:space="preserve">1</t>
  </si>
  <si>
    <r>
      <rPr>
        <sz val="11"/>
        <rFont val="Linux Libertine G"/>
        <family val="2"/>
      </rPr>
      <t xml:space="preserve">每個實驗一張工作表，只要填</t>
    </r>
    <r>
      <rPr>
        <sz val="11"/>
        <rFont val="Arial"/>
        <family val="0"/>
        <charset val="1"/>
      </rPr>
      <t xml:space="preserve">**</t>
    </r>
    <r>
      <rPr>
        <sz val="11"/>
        <rFont val="Linux Libertine G"/>
        <family val="2"/>
      </rPr>
      <t xml:space="preserve">黃底</t>
    </r>
    <r>
      <rPr>
        <sz val="11"/>
        <rFont val="Arial"/>
        <family val="0"/>
        <charset val="1"/>
      </rPr>
      <t xml:space="preserve">**</t>
    </r>
    <r>
      <rPr>
        <sz val="11"/>
        <rFont val="Linux Libertine G"/>
        <family val="2"/>
      </rPr>
      <t xml:space="preserve">的格子，其他欄位都是公式或預報值，不要覆蓋。</t>
    </r>
  </si>
  <si>
    <t xml:space="preserve">2</t>
  </si>
  <si>
    <t xml:space="preserve">填一列，右邊的計算欄與下面的圖就會跟著更新；不必等全部填完才看得到對照。</t>
  </si>
  <si>
    <t xml:space="preserve">3</t>
  </si>
  <si>
    <r>
      <rPr>
        <sz val="11"/>
        <rFont val="Linux Libertine G"/>
        <family val="2"/>
      </rPr>
      <t xml:space="preserve">藍色字是寫死的輸入：講義規格或 </t>
    </r>
    <r>
      <rPr>
        <sz val="11"/>
        <rFont val="Arial"/>
        <family val="0"/>
        <charset val="1"/>
      </rPr>
      <t xml:space="preserve">LTspice </t>
    </r>
    <r>
      <rPr>
        <sz val="11"/>
        <rFont val="Linux Libertine G"/>
        <family val="2"/>
      </rPr>
      <t xml:space="preserve">模擬結果。黑色字是公式。</t>
    </r>
  </si>
  <si>
    <t xml:space="preserve">4</t>
  </si>
  <si>
    <t xml:space="preserve">每張工作表下方都有圖，橫軸縱軸已經設好，實測與預報畫在同一張上直接對照。</t>
  </si>
  <si>
    <t xml:space="preserve">5</t>
  </si>
  <si>
    <t xml:space="preserve">每張工作表的資料區下方有「當天拍照檢查表」：示波器畫面、麵包板照片、上傳登記，離開實驗室前逐項打勾。</t>
  </si>
  <si>
    <t xml:space="preserve">6</t>
  </si>
  <si>
    <r>
      <rPr>
        <sz val="11"/>
        <rFont val="Linux Libertine G"/>
        <family val="2"/>
      </rPr>
      <t xml:space="preserve">當天上傳 </t>
    </r>
    <r>
      <rPr>
        <sz val="11"/>
        <rFont val="Arial"/>
        <family val="0"/>
        <charset val="1"/>
      </rPr>
      <t xml:space="preserve">E3 </t>
    </r>
    <r>
      <rPr>
        <sz val="11"/>
        <rFont val="Linux Libertine G"/>
        <family val="2"/>
      </rPr>
      <t xml:space="preserve">之前先存一份 </t>
    </r>
    <r>
      <rPr>
        <sz val="11"/>
        <rFont val="Arial"/>
        <family val="0"/>
        <charset val="1"/>
      </rPr>
      <t xml:space="preserve">xlsx</t>
    </r>
    <r>
      <rPr>
        <sz val="11"/>
        <rFont val="Linux Libertine G"/>
        <family val="2"/>
      </rPr>
      <t xml:space="preserve">；回家要跑 </t>
    </r>
    <r>
      <rPr>
        <sz val="11"/>
        <rFont val="Arial"/>
        <family val="0"/>
        <charset val="1"/>
      </rPr>
      <t xml:space="preserve">plot_measured.py </t>
    </r>
    <r>
      <rPr>
        <sz val="11"/>
        <rFont val="Linux Libertine G"/>
        <family val="2"/>
      </rPr>
      <t xml:space="preserve">的話，把實驗一、二的</t>
    </r>
  </si>
  <si>
    <r>
      <rPr>
        <sz val="11"/>
        <rFont val="Linux Libertine G"/>
        <family val="2"/>
      </rPr>
      <t xml:space="preserve">　　前三欄另存成 </t>
    </r>
    <r>
      <rPr>
        <sz val="11"/>
        <rFont val="Arial"/>
        <family val="0"/>
        <charset val="1"/>
      </rPr>
      <t xml:space="preserve">measured/lab1-exp1-forward.csv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lab1-exp2-reverse.csv</t>
    </r>
    <r>
      <rPr>
        <sz val="11"/>
        <rFont val="Linux Libertine G"/>
        <family val="2"/>
      </rPr>
      <t xml:space="preserve">（逗號分隔）。</t>
    </r>
  </si>
  <si>
    <t xml:space="preserve">填寫範例（實驗一）</t>
  </si>
  <si>
    <t xml:space="preserve">Vs (V)</t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</si>
  <si>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V_D (V)</t>
    </r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</si>
  <si>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I (mA)</t>
    </r>
  </si>
  <si>
    <t xml:space="preserve">→ V_R (V)</t>
  </si>
  <si>
    <r>
      <rPr>
        <b val="true"/>
        <sz val="11"/>
        <rFont val="Arial"/>
        <family val="0"/>
        <charset val="1"/>
      </rPr>
      <t xml:space="preserve">→ I </t>
    </r>
    <r>
      <rPr>
        <b val="true"/>
        <sz val="11"/>
        <rFont val="Linux Libertine G"/>
        <family val="2"/>
      </rPr>
      <t xml:space="preserve">計算 </t>
    </r>
    <r>
      <rPr>
        <b val="true"/>
        <sz val="11"/>
        <rFont val="Arial"/>
        <family val="0"/>
        <charset val="1"/>
      </rPr>
      <t xml:space="preserve">(mA)</t>
    </r>
  </si>
  <si>
    <r>
      <rPr>
        <b val="true"/>
        <sz val="11"/>
        <rFont val="Linux Libertine G"/>
        <family val="2"/>
      </rPr>
      <t xml:space="preserve">→ 差異 </t>
    </r>
    <r>
      <rPr>
        <b val="true"/>
        <sz val="11"/>
        <rFont val="Arial"/>
        <family val="0"/>
        <charset val="1"/>
      </rPr>
      <t xml:space="preserve">(%)</t>
    </r>
  </si>
  <si>
    <r>
      <rPr>
        <sz val="9"/>
        <color rgb="FF808080"/>
        <rFont val="Linux Libertine G"/>
        <family val="2"/>
      </rPr>
      <t xml:space="preserve">↑ 這一列只是示範格式（電表讀 </t>
    </r>
    <r>
      <rPr>
        <sz val="9"/>
        <color rgb="FF808080"/>
        <rFont val="Arial"/>
        <family val="0"/>
        <charset val="1"/>
      </rPr>
      <t xml:space="preserve">0.552 V</t>
    </r>
    <r>
      <rPr>
        <sz val="9"/>
        <color rgb="FF808080"/>
        <rFont val="Linux Libertine G"/>
        <family val="2"/>
      </rPr>
      <t xml:space="preserve">／</t>
    </r>
    <r>
      <rPr>
        <sz val="9"/>
        <color rgb="FF808080"/>
        <rFont val="Arial"/>
        <family val="0"/>
        <charset val="1"/>
      </rPr>
      <t xml:space="preserve">0.05 mA </t>
    </r>
    <r>
      <rPr>
        <sz val="9"/>
        <color rgb="FF808080"/>
        <rFont val="Linux Libertine G"/>
        <family val="2"/>
      </rPr>
      <t xml:space="preserve">就這樣填），正式表裡沒有這一列。</t>
    </r>
  </si>
  <si>
    <t xml:space="preserve">資料來源</t>
  </si>
  <si>
    <r>
      <rPr>
        <sz val="9"/>
        <color rgb="FF808080"/>
        <rFont val="Linux Libertine G"/>
        <family val="2"/>
      </rPr>
      <t xml:space="preserve">預報欄由 </t>
    </r>
    <r>
      <rPr>
        <sz val="9"/>
        <color rgb="FF808080"/>
        <rFont val="Arial"/>
        <family val="0"/>
        <charset val="1"/>
      </rPr>
      <t xml:space="preserve">simulations/lab1/*.raw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LTspice</t>
    </r>
    <r>
      <rPr>
        <sz val="9"/>
        <color rgb="FF808080"/>
        <rFont val="Linux Libertine G"/>
        <family val="2"/>
      </rPr>
      <t xml:space="preserve">，真實 </t>
    </r>
    <r>
      <rPr>
        <sz val="9"/>
        <color rgb="FF808080"/>
        <rFont val="Arial"/>
        <family val="0"/>
        <charset val="1"/>
      </rPr>
      <t xml:space="preserve">1N4007 </t>
    </r>
    <r>
      <rPr>
        <sz val="9"/>
        <color rgb="FF808080"/>
        <rFont val="Linux Libertine G"/>
        <family val="2"/>
      </rPr>
      <t xml:space="preserve">模型）以 </t>
    </r>
    <r>
      <rPr>
        <sz val="9"/>
        <color rgb="FF808080"/>
        <rFont val="Arial"/>
        <family val="0"/>
        <charset val="1"/>
      </rPr>
      <t xml:space="preserve">build_record_xlsx.py </t>
    </r>
    <r>
      <rPr>
        <sz val="9"/>
        <color rgb="FF808080"/>
        <rFont val="Linux Libertine G"/>
        <family val="2"/>
      </rPr>
      <t xml:space="preserve">產生；講義規格出自 </t>
    </r>
    <r>
      <rPr>
        <sz val="9"/>
        <color rgb="FF808080"/>
        <rFont val="Arial"/>
        <family val="0"/>
        <charset val="1"/>
      </rPr>
      <t xml:space="preserve">App_Lab1.pdf</t>
    </r>
    <r>
      <rPr>
        <sz val="9"/>
        <color rgb="FF808080"/>
        <rFont val="Linux Libertine G"/>
        <family val="2"/>
      </rPr>
      <t xml:space="preserve">。</t>
    </r>
  </si>
  <si>
    <r>
      <rPr>
        <b val="true"/>
        <sz val="14"/>
        <rFont val="Linux Libertine G"/>
        <family val="2"/>
      </rPr>
      <t xml:space="preserve">實驗一：順偏導通電壓（</t>
    </r>
    <r>
      <rPr>
        <b val="true"/>
        <sz val="14"/>
        <rFont val="Arial"/>
        <family val="0"/>
        <charset val="1"/>
      </rPr>
      <t xml:space="preserve">Forward Bias: Knee Voltage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</si>
  <si>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6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每次加 </t>
    </r>
    <r>
      <rPr>
        <sz val="9"/>
        <color rgb="FF808080"/>
        <rFont val="Arial"/>
        <family val="0"/>
        <charset val="1"/>
      </rPr>
      <t xml:space="preserve">0.1 V</t>
    </r>
    <r>
      <rPr>
        <sz val="9"/>
        <color rgb="FF808080"/>
        <rFont val="Linux Libertine G"/>
        <family val="2"/>
      </rPr>
      <t xml:space="preserve">，記錄 </t>
    </r>
    <r>
      <rPr>
        <sz val="9"/>
        <color rgb="FF808080"/>
        <rFont val="Arial"/>
        <family val="0"/>
        <charset val="1"/>
      </rPr>
      <t xml:space="preserve">V_D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I</t>
    </r>
    <r>
      <rPr>
        <sz val="9"/>
        <color rgb="FF808080"/>
        <rFont val="Linux Libertine G"/>
        <family val="2"/>
      </rPr>
      <t xml:space="preserve">，畫出 </t>
    </r>
    <r>
      <rPr>
        <sz val="9"/>
        <color rgb="FF808080"/>
        <rFont val="Arial"/>
        <family val="0"/>
        <charset val="1"/>
      </rPr>
      <t xml:space="preserve">I-V </t>
    </r>
    <r>
      <rPr>
        <sz val="9"/>
        <color rgb="FF808080"/>
        <rFont val="Linux Libertine G"/>
        <family val="2"/>
      </rPr>
      <t xml:space="preserve">特性曲線找導通電壓</t>
    </r>
  </si>
  <si>
    <r>
      <rPr>
        <b val="true"/>
        <sz val="11"/>
        <rFont val="Linux Libertine G"/>
        <family val="2"/>
      </rPr>
      <t xml:space="preserve">限流電阻 </t>
    </r>
    <r>
      <rPr>
        <b val="true"/>
        <sz val="11"/>
        <rFont val="Arial"/>
        <family val="0"/>
        <charset val="1"/>
      </rPr>
      <t xml:space="preserve">R (Ω)</t>
    </r>
  </si>
  <si>
    <r>
      <rPr>
        <sz val="9"/>
        <color rgb="FF808080"/>
        <rFont val="Linux Libertine G"/>
        <family val="2"/>
      </rPr>
      <t xml:space="preserve">← 講義第 </t>
    </r>
    <r>
      <rPr>
        <sz val="9"/>
        <color rgb="FF808080"/>
        <rFont val="Arial"/>
        <family val="0"/>
        <charset val="1"/>
      </rPr>
      <t xml:space="preserve">6 </t>
    </r>
    <r>
      <rPr>
        <sz val="9"/>
        <color rgb="FF808080"/>
        <rFont val="Linux Libertine G"/>
        <family val="2"/>
      </rPr>
      <t xml:space="preserve">頁指定；改這一格，右邊的 </t>
    </r>
    <r>
      <rPr>
        <sz val="9"/>
        <color rgb="FF808080"/>
        <rFont val="Arial"/>
        <family val="0"/>
        <charset val="1"/>
      </rPr>
      <t xml:space="preserve">I </t>
    </r>
    <r>
      <rPr>
        <sz val="9"/>
        <color rgb="FF808080"/>
        <rFont val="Linux Libertine G"/>
        <family val="2"/>
      </rPr>
      <t xml:space="preserve">計算欄會跟著變</t>
    </r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</si>
  <si>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I (mA)
</t>
    </r>
    <r>
      <rPr>
        <b val="true"/>
        <sz val="11"/>
        <rFont val="Linux Libertine G"/>
        <family val="2"/>
      </rPr>
      <t xml:space="preserve">【電表】</t>
    </r>
  </si>
  <si>
    <t xml:space="preserve">V_R = Vs − V_D (V)</t>
  </si>
  <si>
    <t xml:space="preserve">I = V_R / R (mA)</t>
  </si>
  <si>
    <r>
      <rPr>
        <b val="true"/>
        <sz val="11"/>
        <rFont val="Linux Libertine G"/>
        <family val="2"/>
      </rPr>
      <t xml:space="preserve">電表 </t>
    </r>
    <r>
      <rPr>
        <b val="true"/>
        <sz val="11"/>
        <rFont val="Arial"/>
        <family val="0"/>
        <charset val="1"/>
      </rPr>
      <t xml:space="preserve">vs </t>
    </r>
    <r>
      <rPr>
        <b val="true"/>
        <sz val="11"/>
        <rFont val="Linux Libertine G"/>
        <family val="2"/>
      </rPr>
      <t xml:space="preserve">計算
差異 </t>
    </r>
    <r>
      <rPr>
        <b val="true"/>
        <sz val="11"/>
        <rFont val="Arial"/>
        <family val="0"/>
        <charset val="1"/>
      </rPr>
      <t xml:space="preserve">(%)</t>
    </r>
  </si>
  <si>
    <t xml:space="preserve">LTspice V_D (V)</t>
  </si>
  <si>
    <t xml:space="preserve">LTspice I (mA)</t>
  </si>
  <si>
    <r>
      <rPr>
        <b val="true"/>
        <sz val="11"/>
        <rFont val="Arial"/>
        <family val="0"/>
        <charset val="1"/>
      </rPr>
      <t xml:space="preserve">V_D </t>
    </r>
    <r>
      <rPr>
        <b val="true"/>
        <sz val="11"/>
        <rFont val="Linux Libertine G"/>
        <family val="2"/>
      </rPr>
      <t xml:space="preserve">誤差 </t>
    </r>
    <r>
      <rPr>
        <b val="true"/>
        <sz val="11"/>
        <rFont val="Arial"/>
        <family val="0"/>
        <charset val="1"/>
      </rPr>
      <t xml:space="preserve">(%)</t>
    </r>
  </si>
  <si>
    <r>
      <rPr>
        <sz val="9"/>
        <color rgb="FF808080"/>
        <rFont val="Arial"/>
        <family val="0"/>
        <charset val="1"/>
      </rPr>
      <t xml:space="preserve">G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H </t>
    </r>
    <r>
      <rPr>
        <sz val="9"/>
        <color rgb="FF808080"/>
        <rFont val="Linux Libertine G"/>
        <family val="2"/>
      </rPr>
      <t xml:space="preserve">欄：</t>
    </r>
    <r>
      <rPr>
        <sz val="9"/>
        <color rgb="FF808080"/>
        <rFont val="Arial"/>
        <family val="0"/>
        <charset val="1"/>
      </rPr>
      <t xml:space="preserve">LTspice 1N4007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lab1-exp1-forward.raw</t>
    </r>
    <r>
      <rPr>
        <sz val="9"/>
        <color rgb="FF808080"/>
        <rFont val="Linux Libertine G"/>
        <family val="2"/>
      </rPr>
      <t xml:space="preserve">）在同一組 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的模擬值，當預報用。</t>
    </r>
    <r>
      <rPr>
        <sz val="9"/>
        <color rgb="FF808080"/>
        <rFont val="Arial"/>
        <family val="0"/>
        <charset val="1"/>
      </rPr>
      <t xml:space="preserve">F </t>
    </r>
    <r>
      <rPr>
        <sz val="9"/>
        <color rgb="FF808080"/>
        <rFont val="Linux Libertine G"/>
        <family val="2"/>
      </rPr>
      <t xml:space="preserve">欄兩者差太多通常是電表接成並聯。</t>
    </r>
  </si>
  <si>
    <t xml:space="preserve">當天拍照檢查表（離開實驗室前逐項打勾）</t>
  </si>
  <si>
    <t xml:space="preserve">要留的證據</t>
  </si>
  <si>
    <t xml:space="preserve">打勾</t>
  </si>
  <si>
    <t xml:space="preserve">備註</t>
  </si>
  <si>
    <r>
      <rPr>
        <sz val="11"/>
        <rFont val="Linux Libertine G"/>
        <family val="2"/>
      </rPr>
      <t xml:space="preserve">麵包板全景照 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</si>
  <si>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Linux Libertine G"/>
        <family val="2"/>
      </rPr>
      <t xml:space="preserve">看得出 </t>
    </r>
    <r>
      <rPr>
        <sz val="9"/>
        <color rgb="FF808080"/>
        <rFont val="Arial"/>
        <family val="0"/>
        <charset val="1"/>
      </rPr>
      <t xml:space="preserve">D1 </t>
    </r>
    <r>
      <rPr>
        <sz val="9"/>
        <color rgb="FF808080"/>
        <rFont val="Linux Libertine G"/>
        <family val="2"/>
      </rPr>
      <t xml:space="preserve">色環方向、</t>
    </r>
    <r>
      <rPr>
        <sz val="9"/>
        <color rgb="FF808080"/>
        <rFont val="Arial"/>
        <family val="0"/>
        <charset val="1"/>
      </rPr>
      <t xml:space="preserve">1 kΩ </t>
    </r>
    <r>
      <rPr>
        <sz val="9"/>
        <color rgb="FF808080"/>
        <rFont val="Linux Libertine G"/>
        <family val="2"/>
      </rPr>
      <t xml:space="preserve">與跳線各插在第幾欄</t>
    </r>
  </si>
  <si>
    <r>
      <rPr>
        <sz val="11"/>
        <rFont val="Linux Libertine G"/>
        <family val="2"/>
      </rPr>
      <t xml:space="preserve">電表接線特寫 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</si>
  <si>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Linux Libertine G"/>
        <family val="2"/>
      </rPr>
      <t xml:space="preserve">電壓表跨 </t>
    </r>
    <r>
      <rPr>
        <sz val="9"/>
        <color rgb="FF808080"/>
        <rFont val="Arial"/>
        <family val="0"/>
        <charset val="1"/>
      </rPr>
      <t xml:space="preserve">D1 </t>
    </r>
    <r>
      <rPr>
        <sz val="9"/>
        <color rgb="FF808080"/>
        <rFont val="Linux Libertine G"/>
        <family val="2"/>
      </rPr>
      <t xml:space="preserve">兩端、電流表串在 </t>
    </r>
    <r>
      <rPr>
        <sz val="9"/>
        <color rgb="FF808080"/>
        <rFont val="Arial"/>
        <family val="0"/>
        <charset val="1"/>
      </rPr>
      <t xml:space="preserve">R1 </t>
    </r>
    <r>
      <rPr>
        <sz val="9"/>
        <color rgb="FF808080"/>
        <rFont val="Linux Libertine G"/>
        <family val="2"/>
      </rPr>
      <t xml:space="preserve">之後，紅黑棒插孔要入鏡</t>
    </r>
  </si>
  <si>
    <r>
      <rPr>
        <sz val="11"/>
        <rFont val="Linux Libertine G"/>
        <family val="2"/>
      </rPr>
      <t xml:space="preserve">電源供應器面板 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</si>
  <si>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Linux Libertine G"/>
        <family val="2"/>
      </rPr>
      <t xml:space="preserve">任一列的 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與面板電流讀值，和記錄表對得上</t>
    </r>
  </si>
  <si>
    <r>
      <rPr>
        <sz val="11"/>
        <rFont val="Linux Libertine G"/>
        <family val="2"/>
      </rPr>
      <t xml:space="preserve">記錄表 </t>
    </r>
    <r>
      <rPr>
        <sz val="11"/>
        <rFont val="Arial"/>
        <family val="0"/>
        <charset val="1"/>
      </rPr>
      <t xml:space="preserve">20 </t>
    </r>
    <r>
      <rPr>
        <sz val="11"/>
        <rFont val="Linux Libertine G"/>
        <family val="2"/>
      </rPr>
      <t xml:space="preserve">列填滿</t>
    </r>
  </si>
  <si>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C </t>
    </r>
    <r>
      <rPr>
        <sz val="9"/>
        <color rgb="FF808080"/>
        <rFont val="Linux Libertine G"/>
        <family val="2"/>
      </rPr>
      <t xml:space="preserve">欄都要有值；</t>
    </r>
    <r>
      <rPr>
        <sz val="9"/>
        <color rgb="FF808080"/>
        <rFont val="Arial"/>
        <family val="0"/>
        <charset val="1"/>
      </rPr>
      <t xml:space="preserve">F </t>
    </r>
    <r>
      <rPr>
        <sz val="9"/>
        <color rgb="FF808080"/>
        <rFont val="Linux Libertine G"/>
        <family val="2"/>
      </rPr>
      <t xml:space="preserve">欄差異過大先檢查電表是否接成並聯</t>
    </r>
  </si>
  <si>
    <r>
      <rPr>
        <sz val="11"/>
        <rFont val="Linux Libertine G"/>
        <family val="2"/>
      </rPr>
      <t xml:space="preserve">上傳 </t>
    </r>
    <r>
      <rPr>
        <sz val="11"/>
        <rFont val="Arial"/>
        <family val="0"/>
        <charset val="1"/>
      </rPr>
      <t xml:space="preserve">E3 </t>
    </r>
    <r>
      <rPr>
        <sz val="11"/>
        <rFont val="Linux Libertine G"/>
        <family val="2"/>
      </rPr>
      <t xml:space="preserve">並找助教登記</t>
    </r>
  </si>
  <si>
    <t xml:space="preserve">下課前完成，結報數字必須和上傳的一致</t>
  </si>
  <si>
    <r>
      <rPr>
        <b val="true"/>
        <sz val="14"/>
        <rFont val="Linux Libertine G"/>
        <family val="2"/>
      </rPr>
      <t xml:space="preserve">實驗二：逆偏（</t>
    </r>
    <r>
      <rPr>
        <b val="true"/>
        <sz val="14"/>
        <rFont val="Arial"/>
        <family val="0"/>
        <charset val="1"/>
      </rPr>
      <t xml:space="preserve">Reverse Bias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</si>
  <si>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12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每次加 </t>
    </r>
    <r>
      <rPr>
        <sz val="9"/>
        <color rgb="FF808080"/>
        <rFont val="Arial"/>
        <family val="0"/>
        <charset val="1"/>
      </rPr>
      <t xml:space="preserve">1 V</t>
    </r>
    <r>
      <rPr>
        <sz val="9"/>
        <color rgb="FF808080"/>
        <rFont val="Linux Libertine G"/>
        <family val="2"/>
      </rPr>
      <t xml:space="preserve">，記錄 </t>
    </r>
    <r>
      <rPr>
        <sz val="9"/>
        <color rgb="FF808080"/>
        <rFont val="Arial"/>
        <family val="0"/>
        <charset val="1"/>
      </rPr>
      <t xml:space="preserve">V_D </t>
    </r>
    <r>
      <rPr>
        <sz val="9"/>
        <color rgb="FF808080"/>
        <rFont val="Linux Libertine G"/>
        <family val="2"/>
      </rPr>
      <t xml:space="preserve">與漏電流；電流表要用 </t>
    </r>
    <r>
      <rPr>
        <sz val="9"/>
        <color rgb="FF808080"/>
        <rFont val="Arial"/>
        <family val="0"/>
        <charset val="1"/>
      </rPr>
      <t xml:space="preserve">µA </t>
    </r>
    <r>
      <rPr>
        <sz val="9"/>
        <color rgb="FF808080"/>
        <rFont val="Linux Libertine G"/>
        <family val="2"/>
      </rPr>
      <t xml:space="preserve">檔</t>
    </r>
  </si>
  <si>
    <r>
      <rPr>
        <b val="true"/>
        <sz val="11"/>
        <rFont val="Arial"/>
        <family val="0"/>
        <charset val="1"/>
      </rPr>
      <t xml:space="preserve">datasheet </t>
    </r>
    <r>
      <rPr>
        <b val="true"/>
        <sz val="11"/>
        <rFont val="Linux Libertine G"/>
        <family val="2"/>
      </rPr>
      <t xml:space="preserve">漏電流上限 </t>
    </r>
    <r>
      <rPr>
        <b val="true"/>
        <sz val="11"/>
        <rFont val="Arial"/>
        <family val="0"/>
        <charset val="1"/>
      </rPr>
      <t xml:space="preserve">(µA)</t>
    </r>
  </si>
  <si>
    <r>
      <rPr>
        <sz val="9"/>
        <color rgb="FF808080"/>
        <rFont val="Arial"/>
        <family val="0"/>
        <charset val="1"/>
      </rPr>
      <t xml:space="preserve">← 1N4007 datasheet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I_R </t>
    </r>
    <r>
      <rPr>
        <sz val="9"/>
        <color rgb="FF808080"/>
        <rFont val="Linux Libertine G"/>
        <family val="2"/>
      </rPr>
      <t xml:space="preserve">上限，圖上會畫成一條水平參考線</t>
    </r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</si>
  <si>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I (µA)</t>
    </r>
  </si>
  <si>
    <t xml:space="preserve">Vs − V_D (V)</t>
  </si>
  <si>
    <t xml:space="preserve">LTspice I (nA)</t>
  </si>
  <si>
    <t xml:space="preserve">LTspice I (µA)</t>
  </si>
  <si>
    <r>
      <rPr>
        <b val="true"/>
        <sz val="11"/>
        <rFont val="Arial"/>
        <family val="0"/>
        <charset val="1"/>
      </rPr>
      <t xml:space="preserve">datasheet </t>
    </r>
    <r>
      <rPr>
        <b val="true"/>
        <sz val="11"/>
        <rFont val="Linux Libertine G"/>
        <family val="2"/>
      </rPr>
      <t xml:space="preserve">上限 </t>
    </r>
    <r>
      <rPr>
        <b val="true"/>
        <sz val="11"/>
        <rFont val="Arial"/>
        <family val="0"/>
        <charset val="1"/>
      </rPr>
      <t xml:space="preserve">(µA)</t>
    </r>
  </si>
  <si>
    <r>
      <rPr>
        <sz val="9"/>
        <color rgb="FF808080"/>
        <rFont val="Arial"/>
        <family val="0"/>
        <charset val="1"/>
      </rPr>
      <t xml:space="preserve">D </t>
    </r>
    <r>
      <rPr>
        <sz val="9"/>
        <color rgb="FF808080"/>
        <rFont val="Linux Libertine G"/>
        <family val="2"/>
      </rPr>
      <t xml:space="preserve">欄接近 </t>
    </r>
    <r>
      <rPr>
        <sz val="9"/>
        <color rgb="FF808080"/>
        <rFont val="Arial"/>
        <family val="0"/>
        <charset val="1"/>
      </rPr>
      <t xml:space="preserve">0 </t>
    </r>
    <r>
      <rPr>
        <sz val="9"/>
        <color rgb="FF808080"/>
        <rFont val="Linux Libertine G"/>
        <family val="2"/>
      </rPr>
      <t xml:space="preserve">代表電源加多少、二極體就吃多少，電阻上沒有壓降——逆偏接對了。實測電流若落在 </t>
    </r>
    <r>
      <rPr>
        <sz val="9"/>
        <color rgb="FF808080"/>
        <rFont val="Arial"/>
        <family val="0"/>
        <charset val="1"/>
      </rPr>
      <t xml:space="preserve">0.1–2 µA</t>
    </r>
    <r>
      <rPr>
        <sz val="9"/>
        <color rgb="FF808080"/>
        <rFont val="Linux Libertine G"/>
        <family val="2"/>
      </rPr>
      <t xml:space="preserve">，多半是電表 </t>
    </r>
    <r>
      <rPr>
        <sz val="9"/>
        <color rgb="FF808080"/>
        <rFont val="Arial"/>
        <family val="0"/>
        <charset val="1"/>
      </rPr>
      <t xml:space="preserve">10 MΩ </t>
    </r>
    <r>
      <rPr>
        <sz val="9"/>
        <color rgb="FF808080"/>
        <rFont val="Linux Libertine G"/>
        <family val="2"/>
      </rPr>
      <t xml:space="preserve">輸入阻抗分走的，不是二極體漏電流。</t>
    </r>
  </si>
  <si>
    <r>
      <rPr>
        <sz val="9"/>
        <color rgb="FF808080"/>
        <rFont val="Arial"/>
        <family val="0"/>
        <charset val="1"/>
      </rPr>
      <t xml:space="preserve">D1 </t>
    </r>
    <r>
      <rPr>
        <sz val="9"/>
        <color rgb="FF808080"/>
        <rFont val="Linux Libertine G"/>
        <family val="2"/>
      </rPr>
      <t xml:space="preserve">反接（色環朝電源正極那側），看得出每顆元件插在第幾欄</t>
    </r>
  </si>
  <si>
    <r>
      <rPr>
        <sz val="11"/>
        <rFont val="Linux Libertine G"/>
        <family val="2"/>
      </rPr>
      <t xml:space="preserve">電流表 </t>
    </r>
    <r>
      <rPr>
        <sz val="11"/>
        <rFont val="Arial"/>
        <family val="0"/>
        <charset val="1"/>
      </rPr>
      <t xml:space="preserve">µA </t>
    </r>
    <r>
      <rPr>
        <sz val="11"/>
        <rFont val="Linux Libertine G"/>
        <family val="2"/>
      </rPr>
      <t xml:space="preserve">檔特寫 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</si>
  <si>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Linux Libertine G"/>
        <family val="2"/>
      </rPr>
      <t xml:space="preserve">檔位旋鈕與讀值同框；</t>
    </r>
    <r>
      <rPr>
        <sz val="9"/>
        <color rgb="FF808080"/>
        <rFont val="Arial"/>
        <family val="0"/>
        <charset val="1"/>
      </rPr>
      <t xml:space="preserve">mA </t>
    </r>
    <r>
      <rPr>
        <sz val="9"/>
        <color rgb="FF808080"/>
        <rFont val="Linux Libertine G"/>
        <family val="2"/>
      </rPr>
      <t xml:space="preserve">檔只會顯示 </t>
    </r>
    <r>
      <rPr>
        <sz val="9"/>
        <color rgb="FF808080"/>
        <rFont val="Arial"/>
        <family val="0"/>
        <charset val="1"/>
      </rPr>
      <t xml:space="preserve">0</t>
    </r>
  </si>
  <si>
    <r>
      <rPr>
        <sz val="11"/>
        <rFont val="Linux Libertine G"/>
        <family val="2"/>
      </rPr>
      <t xml:space="preserve">拿掉電壓表再量 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次</t>
    </r>
  </si>
  <si>
    <r>
      <rPr>
        <sz val="9"/>
        <color rgb="FF808080"/>
        <rFont val="Linux Libertine G"/>
        <family val="2"/>
      </rPr>
      <t xml:space="preserve">至少 </t>
    </r>
    <r>
      <rPr>
        <sz val="9"/>
        <color rgb="FF808080"/>
        <rFont val="Arial"/>
        <family val="0"/>
        <charset val="1"/>
      </rPr>
      <t xml:space="preserve">10 V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20 V </t>
    </r>
    <r>
      <rPr>
        <sz val="9"/>
        <color rgb="FF808080"/>
        <rFont val="Linux Libertine G"/>
        <family val="2"/>
      </rPr>
      <t xml:space="preserve">兩列，兩個電流讀值的差就是電壓表分走的</t>
    </r>
  </si>
  <si>
    <r>
      <rPr>
        <sz val="9"/>
        <color rgb="FF808080"/>
        <rFont val="Arial"/>
        <family val="0"/>
        <charset val="1"/>
      </rPr>
      <t xml:space="preserve">D </t>
    </r>
    <r>
      <rPr>
        <sz val="9"/>
        <color rgb="FF808080"/>
        <rFont val="Linux Libertine G"/>
        <family val="2"/>
      </rPr>
      <t xml:space="preserve">欄應接近 </t>
    </r>
    <r>
      <rPr>
        <sz val="9"/>
        <color rgb="FF808080"/>
        <rFont val="Arial"/>
        <family val="0"/>
        <charset val="1"/>
      </rPr>
      <t xml:space="preserve">0</t>
    </r>
    <r>
      <rPr>
        <sz val="9"/>
        <color rgb="FF808080"/>
        <rFont val="Linux Libertine G"/>
        <family val="2"/>
      </rPr>
      <t xml:space="preserve">；跑到零點幾伏就是二極體插反了</t>
    </r>
  </si>
  <si>
    <t xml:space="preserve">下課前完成</t>
  </si>
  <si>
    <r>
      <rPr>
        <b val="true"/>
        <sz val="14"/>
        <rFont val="Linux Libertine G"/>
        <family val="2"/>
      </rPr>
      <t xml:space="preserve">實驗三：半波整流器（</t>
    </r>
    <r>
      <rPr>
        <b val="true"/>
        <sz val="14"/>
        <rFont val="Arial"/>
        <family val="0"/>
        <charset val="1"/>
      </rPr>
      <t xml:space="preserve">Half-wave Rectifier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</si>
  <si>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18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20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60 Hz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10 Vpp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1N4007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R = 10 kΩ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C = 1 µF</t>
    </r>
  </si>
  <si>
    <t xml:space="preserve">區段</t>
  </si>
  <si>
    <t xml:space="preserve">量測項目</t>
  </si>
  <si>
    <t xml:space="preserve">實測</t>
  </si>
  <si>
    <r>
      <rPr>
        <b val="true"/>
        <sz val="11"/>
        <rFont val="Linux Libertine G"/>
        <family val="2"/>
      </rPr>
      <t xml:space="preserve">預報（</t>
    </r>
    <r>
      <rPr>
        <b val="true"/>
        <sz val="11"/>
        <rFont val="Arial"/>
        <family val="0"/>
        <charset val="1"/>
      </rPr>
      <t xml:space="preserve">LTspice</t>
    </r>
    <r>
      <rPr>
        <b val="true"/>
        <sz val="11"/>
        <rFont val="Linux Libertine G"/>
        <family val="2"/>
      </rPr>
      <t xml:space="preserve">）</t>
    </r>
  </si>
  <si>
    <t xml:space="preserve">理想公式</t>
  </si>
  <si>
    <r>
      <rPr>
        <b val="true"/>
        <sz val="11"/>
        <rFont val="Linux Libertine G"/>
        <family val="2"/>
      </rPr>
      <t xml:space="preserve">誤差 </t>
    </r>
    <r>
      <rPr>
        <b val="true"/>
        <sz val="11"/>
        <rFont val="Arial"/>
        <family val="0"/>
        <charset val="1"/>
      </rPr>
      <t xml:space="preserve">(%)</t>
    </r>
  </si>
  <si>
    <t xml:space="preserve">說明</t>
  </si>
  <si>
    <r>
      <rPr>
        <sz val="11"/>
        <rFont val="Linux Libertine G"/>
        <family val="2"/>
      </rPr>
      <t xml:space="preserve">輸入 </t>
    </r>
    <r>
      <rPr>
        <sz val="11"/>
        <rFont val="Arial"/>
        <family val="0"/>
        <charset val="1"/>
      </rPr>
      <t xml:space="preserve">V_in</t>
    </r>
  </si>
  <si>
    <t xml:space="preserve">V_peak (V)</t>
  </si>
  <si>
    <r>
      <rPr>
        <sz val="9"/>
        <color rgb="FF808080"/>
        <rFont val="Linux Libertine G"/>
        <family val="2"/>
      </rPr>
      <t xml:space="preserve">示波器 </t>
    </r>
    <r>
      <rPr>
        <sz val="9"/>
        <color rgb="FF808080"/>
        <rFont val="Arial"/>
        <family val="0"/>
        <charset val="1"/>
      </rPr>
      <t xml:space="preserve">CH1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Maximum</t>
    </r>
    <r>
      <rPr>
        <sz val="9"/>
        <color rgb="FF808080"/>
        <rFont val="Linux Libertine G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10 Vpp </t>
    </r>
    <r>
      <rPr>
        <sz val="9"/>
        <color rgb="FF808080"/>
        <rFont val="Linux Libertine G"/>
        <family val="2"/>
      </rPr>
      <t xml:space="preserve">正弦的峰值</t>
    </r>
  </si>
  <si>
    <t xml:space="preserve">V_rms (V)</t>
  </si>
  <si>
    <r>
      <rPr>
        <sz val="9"/>
        <color rgb="FF808080"/>
        <rFont val="Arial"/>
        <family val="0"/>
        <charset val="1"/>
      </rPr>
      <t xml:space="preserve">CH1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AC RMS</t>
    </r>
    <r>
      <rPr>
        <sz val="9"/>
        <color rgb="FF808080"/>
        <rFont val="Linux Libertine G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V_p / √2</t>
    </r>
  </si>
  <si>
    <r>
      <rPr>
        <sz val="11"/>
        <rFont val="Linux Libertine G"/>
        <family val="2"/>
      </rPr>
      <t xml:space="preserve">輸出 無 </t>
    </r>
    <r>
      <rPr>
        <sz val="11"/>
        <rFont val="Arial"/>
        <family val="0"/>
        <charset val="1"/>
      </rPr>
      <t xml:space="preserve">C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18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</si>
  <si>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Maximum</t>
    </r>
    <r>
      <rPr>
        <sz val="9"/>
        <color rgb="FF808080"/>
        <rFont val="Linux Libertine G"/>
        <family val="2"/>
      </rPr>
      <t xml:space="preserve">；理想 </t>
    </r>
    <r>
      <rPr>
        <sz val="9"/>
        <color rgb="FF808080"/>
        <rFont val="Arial"/>
        <family val="0"/>
        <charset val="1"/>
      </rPr>
      <t xml:space="preserve">= 5 − V_D,on</t>
    </r>
    <r>
      <rPr>
        <sz val="9"/>
        <color rgb="FF808080"/>
        <rFont val="Linux Libertine G"/>
        <family val="2"/>
      </rPr>
      <t xml:space="preserve">，用 </t>
    </r>
    <r>
      <rPr>
        <sz val="9"/>
        <color rgb="FF808080"/>
        <rFont val="Arial"/>
        <family val="0"/>
        <charset val="1"/>
      </rPr>
      <t xml:space="preserve">0.7 V </t>
    </r>
    <r>
      <rPr>
        <sz val="9"/>
        <color rgb="FF808080"/>
        <rFont val="Linux Libertine G"/>
        <family val="2"/>
      </rPr>
      <t xml:space="preserve">估</t>
    </r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</si>
  <si>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DC RMS</t>
    </r>
    <r>
      <rPr>
        <sz val="9"/>
        <color rgb="FF808080"/>
        <rFont val="Linux Libertine G"/>
        <family val="2"/>
      </rPr>
      <t xml:space="preserve">；理想半波 </t>
    </r>
    <r>
      <rPr>
        <sz val="9"/>
        <color rgb="FF808080"/>
        <rFont val="Arial"/>
        <family val="0"/>
        <charset val="1"/>
      </rPr>
      <t xml:space="preserve">V_p / 2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V_p </t>
    </r>
    <r>
      <rPr>
        <sz val="9"/>
        <color rgb="FF808080"/>
        <rFont val="Linux Libertine G"/>
        <family val="2"/>
      </rPr>
      <t xml:space="preserve">取理想輸出峰值 </t>
    </r>
    <r>
      <rPr>
        <sz val="9"/>
        <color rgb="FF808080"/>
        <rFont val="Arial"/>
        <family val="0"/>
        <charset val="1"/>
      </rPr>
      <t xml:space="preserve">4.3 V</t>
    </r>
    <r>
      <rPr>
        <sz val="9"/>
        <color rgb="FF808080"/>
        <rFont val="Linux Libertine G"/>
        <family val="2"/>
      </rPr>
      <t xml:space="preserve">）</t>
    </r>
  </si>
  <si>
    <t xml:space="preserve">V_avg (V)</t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</si>
  <si>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Average</t>
    </r>
    <r>
      <rPr>
        <sz val="9"/>
        <color rgb="FF808080"/>
        <rFont val="Linux Libertine G"/>
        <family val="2"/>
      </rPr>
      <t xml:space="preserve">；理想半波 </t>
    </r>
    <r>
      <rPr>
        <sz val="9"/>
        <color rgb="FF808080"/>
        <rFont val="Arial"/>
        <family val="0"/>
        <charset val="1"/>
      </rPr>
      <t xml:space="preserve">V_p / π</t>
    </r>
  </si>
  <si>
    <r>
      <rPr>
        <sz val="11"/>
        <rFont val="Linux Libertine G"/>
        <family val="2"/>
      </rPr>
      <t xml:space="preserve">輸出 加 </t>
    </r>
    <r>
      <rPr>
        <sz val="11"/>
        <rFont val="Arial"/>
        <family val="0"/>
        <charset val="1"/>
      </rPr>
      <t xml:space="preserve">1 µF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20 </t>
    </r>
    <r>
      <rPr>
        <sz val="11"/>
        <rFont val="Linux Libertine G"/>
        <family val="2"/>
      </rPr>
      <t xml:space="preserve">頁）</t>
    </r>
  </si>
  <si>
    <t xml:space="preserve">峰值幾乎不變，變的是谷底</t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</si>
  <si>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DC RMS</t>
    </r>
    <r>
      <rPr>
        <sz val="9"/>
        <color rgb="FF808080"/>
        <rFont val="Linux Libertine G"/>
        <family val="2"/>
      </rPr>
      <t xml:space="preserve">。加了電容就不再是理想半波，</t>
    </r>
    <r>
      <rPr>
        <sz val="9"/>
        <color rgb="FF808080"/>
        <rFont val="Arial"/>
        <family val="0"/>
        <charset val="1"/>
      </rPr>
      <t xml:space="preserve">V_p/2 </t>
    </r>
    <r>
      <rPr>
        <sz val="9"/>
        <color rgb="FF808080"/>
        <rFont val="Linux Libertine G"/>
        <family val="2"/>
      </rPr>
      <t xml:space="preserve">不適用，所以理想欄留空</t>
    </r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</si>
  <si>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Average</t>
    </r>
    <r>
      <rPr>
        <sz val="9"/>
        <color rgb="FF808080"/>
        <rFont val="Linux Libertine G"/>
        <family val="2"/>
      </rPr>
      <t xml:space="preserve">。漣波越小這一格越靠近 </t>
    </r>
    <r>
      <rPr>
        <sz val="9"/>
        <color rgb="FF808080"/>
        <rFont val="Arial"/>
        <family val="0"/>
        <charset val="1"/>
      </rPr>
      <t xml:space="preserve">V_peak</t>
    </r>
  </si>
  <si>
    <r>
      <rPr>
        <sz val="11"/>
        <rFont val="Linux Libertine G"/>
        <family val="2"/>
      </rPr>
      <t xml:space="preserve">漣波 </t>
    </r>
    <r>
      <rPr>
        <sz val="11"/>
        <rFont val="Arial"/>
        <family val="0"/>
        <charset val="1"/>
      </rPr>
      <t xml:space="preserve">V_R (V)</t>
    </r>
  </si>
  <si>
    <r>
      <rPr>
        <sz val="9"/>
        <color rgb="FF808080"/>
        <rFont val="Linux Libertine G"/>
        <family val="2"/>
      </rPr>
      <t xml:space="preserve">峰谷差。線性近似 </t>
    </r>
    <r>
      <rPr>
        <sz val="9"/>
        <color rgb="FF808080"/>
        <rFont val="Arial"/>
        <family val="0"/>
        <charset val="1"/>
      </rPr>
      <t xml:space="preserve">V_p/(R·C·f) </t>
    </r>
    <r>
      <rPr>
        <sz val="9"/>
        <color rgb="FF808080"/>
        <rFont val="Linux Libertine G"/>
        <family val="2"/>
      </rPr>
      <t xml:space="preserve">在 </t>
    </r>
    <r>
      <rPr>
        <sz val="9"/>
        <color rgb="FF808080"/>
        <rFont val="Arial"/>
        <family val="0"/>
        <charset val="1"/>
      </rPr>
      <t xml:space="preserve">1 µF </t>
    </r>
    <r>
      <rPr>
        <sz val="9"/>
        <color rgb="FF808080"/>
        <rFont val="Linux Libertine G"/>
        <family val="2"/>
      </rPr>
      <t xml:space="preserve">已失效，理想欄僅供對照</t>
    </r>
  </si>
  <si>
    <t xml:space="preserve">推算值</t>
  </si>
  <si>
    <r>
      <rPr>
        <b val="true"/>
        <sz val="11"/>
        <rFont val="Linux Libertine G"/>
        <family val="2"/>
      </rPr>
      <t xml:space="preserve">整流效率 </t>
    </r>
    <r>
      <rPr>
        <b val="true"/>
        <sz val="11"/>
        <rFont val="Arial"/>
        <family val="0"/>
        <charset val="1"/>
      </rPr>
      <t xml:space="preserve">η = V_avg² / V_rms²</t>
    </r>
    <r>
      <rPr>
        <b val="true"/>
        <sz val="11"/>
        <rFont val="Linux Libertine G"/>
        <family val="2"/>
      </rPr>
      <t xml:space="preserve">（無 </t>
    </r>
    <r>
      <rPr>
        <b val="true"/>
        <sz val="11"/>
        <rFont val="Arial"/>
        <family val="0"/>
        <charset val="1"/>
      </rPr>
      <t xml:space="preserve">C</t>
    </r>
    <r>
      <rPr>
        <b val="true"/>
        <sz val="11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</si>
  <si>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填好第 </t>
    </r>
    <r>
      <rPr>
        <sz val="9"/>
        <color rgb="FF808080"/>
        <rFont val="Arial"/>
        <family val="0"/>
        <charset val="1"/>
      </rPr>
      <t xml:space="preserve">9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與第 </t>
    </r>
    <r>
      <rPr>
        <sz val="9"/>
        <color rgb="FF808080"/>
        <rFont val="Arial"/>
        <family val="0"/>
        <charset val="1"/>
      </rPr>
      <t xml:space="preserve">8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V_rms </t>
    </r>
    <r>
      <rPr>
        <sz val="9"/>
        <color rgb="FF808080"/>
        <rFont val="Linux Libertine G"/>
        <family val="2"/>
      </rPr>
      <t xml:space="preserve">就會自己算；理想半波上限 </t>
    </r>
    <r>
      <rPr>
        <sz val="9"/>
        <color rgb="FF808080"/>
        <rFont val="Arial"/>
        <family val="0"/>
        <charset val="1"/>
      </rPr>
      <t xml:space="preserve">4/π² = 40.5%</t>
    </r>
  </si>
  <si>
    <r>
      <rPr>
        <b val="true"/>
        <sz val="11"/>
        <rFont val="Linux Libertine G"/>
        <family val="2"/>
      </rPr>
      <t xml:space="preserve">整流效率 </t>
    </r>
    <r>
      <rPr>
        <b val="true"/>
        <sz val="11"/>
        <rFont val="Arial"/>
        <family val="0"/>
        <charset val="1"/>
      </rPr>
      <t xml:space="preserve">η</t>
    </r>
    <r>
      <rPr>
        <b val="true"/>
        <sz val="11"/>
        <rFont val="Linux Libertine G"/>
        <family val="2"/>
      </rPr>
      <t xml:space="preserve">（加 </t>
    </r>
    <r>
      <rPr>
        <b val="true"/>
        <sz val="11"/>
        <rFont val="Arial"/>
        <family val="0"/>
        <charset val="1"/>
      </rPr>
      <t xml:space="preserve">1 µF</t>
    </r>
    <r>
      <rPr>
        <b val="true"/>
        <sz val="11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</si>
  <si>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同一條定義套在第 </t>
    </r>
    <r>
      <rPr>
        <sz val="9"/>
        <color rgb="FF808080"/>
        <rFont val="Arial"/>
        <family val="0"/>
        <charset val="1"/>
      </rPr>
      <t xml:space="preserve">12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11 </t>
    </r>
    <r>
      <rPr>
        <sz val="9"/>
        <color rgb="FF808080"/>
        <rFont val="Linux Libertine G"/>
        <family val="2"/>
      </rPr>
      <t xml:space="preserve">列。濾波把 </t>
    </r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推向 </t>
    </r>
    <r>
      <rPr>
        <sz val="9"/>
        <color rgb="FF808080"/>
        <rFont val="Arial"/>
        <family val="0"/>
        <charset val="1"/>
      </rPr>
      <t xml:space="preserve">V_rms</t>
    </r>
    <r>
      <rPr>
        <sz val="9"/>
        <color rgb="FF808080"/>
        <rFont val="Linux Libertine G"/>
        <family val="2"/>
      </rPr>
      <t xml:space="preserve">，效率因此大幅拉高；</t>
    </r>
    <r>
      <rPr>
        <sz val="9"/>
        <color rgb="FF808080"/>
        <rFont val="Arial"/>
        <family val="0"/>
        <charset val="1"/>
      </rPr>
      <t xml:space="preserve">4/π² </t>
    </r>
    <r>
      <rPr>
        <sz val="9"/>
        <color rgb="FF808080"/>
        <rFont val="Linux Libertine G"/>
        <family val="2"/>
      </rPr>
      <t xml:space="preserve">是「沒有濾波」的上限，不能拿來比這一列</t>
    </r>
  </si>
  <si>
    <r>
      <rPr>
        <sz val="9"/>
        <color rgb="FF808080"/>
        <rFont val="Linux Libertine G"/>
        <family val="2"/>
      </rPr>
      <t xml:space="preserve">預報欄來自 </t>
    </r>
    <r>
      <rPr>
        <sz val="9"/>
        <color rgb="FF808080"/>
        <rFont val="Arial"/>
        <family val="0"/>
        <charset val="1"/>
      </rPr>
      <t xml:space="preserve">lab1-exp3-halfwave.raw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lab1-exp3-halfwave-rc.raw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1 µF </t>
    </r>
    <r>
      <rPr>
        <sz val="9"/>
        <color rgb="FF808080"/>
        <rFont val="Linux Libertine G"/>
        <family val="2"/>
      </rPr>
      <t xml:space="preserve">那一步）。理想欄一律以理想輸出峰值 </t>
    </r>
    <r>
      <rPr>
        <sz val="9"/>
        <color rgb="FF808080"/>
        <rFont val="Arial"/>
        <family val="0"/>
        <charset val="1"/>
      </rPr>
      <t xml:space="preserve">4.3 V </t>
    </r>
    <r>
      <rPr>
        <sz val="9"/>
        <color rgb="FF808080"/>
        <rFont val="Linux Libertine G"/>
        <family val="2"/>
      </rPr>
      <t xml:space="preserve">代入公式，所以和預報欄有系統性的差。</t>
    </r>
  </si>
  <si>
    <r>
      <rPr>
        <sz val="11"/>
        <rFont val="Linux Libertine G"/>
        <family val="2"/>
      </rPr>
      <t xml:space="preserve">示波器畫面（無 </t>
    </r>
    <r>
      <rPr>
        <sz val="11"/>
        <rFont val="Arial"/>
        <family val="0"/>
        <charset val="1"/>
      </rPr>
      <t xml:space="preserve">C</t>
    </r>
    <r>
      <rPr>
        <sz val="11"/>
        <rFont val="Linux Libertine G"/>
        <family val="2"/>
      </rPr>
      <t xml:space="preserve">）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</si>
  <si>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Arial"/>
        <family val="0"/>
        <charset val="1"/>
      </rPr>
      <t xml:space="preserve">V_in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V_out </t>
    </r>
    <r>
      <rPr>
        <sz val="9"/>
        <color rgb="FF808080"/>
        <rFont val="Linux Libertine G"/>
        <family val="2"/>
      </rPr>
      <t xml:space="preserve">同畫面，</t>
    </r>
    <r>
      <rPr>
        <sz val="9"/>
        <color rgb="FF808080"/>
        <rFont val="Arial"/>
        <family val="0"/>
        <charset val="1"/>
      </rPr>
      <t xml:space="preserve">[Meas]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Max</t>
    </r>
    <r>
      <rPr>
        <sz val="9"/>
        <color rgb="FF808080"/>
        <rFont val="Linux Libertine G"/>
        <family val="2"/>
      </rPr>
      <t xml:space="preserve">／</t>
    </r>
    <r>
      <rPr>
        <sz val="9"/>
        <color rgb="FF808080"/>
        <rFont val="Arial"/>
        <family val="0"/>
        <charset val="1"/>
      </rPr>
      <t xml:space="preserve">RMS</t>
    </r>
    <r>
      <rPr>
        <sz val="9"/>
        <color rgb="FF808080"/>
        <rFont val="Linux Libertine G"/>
        <family val="2"/>
      </rPr>
      <t xml:space="preserve">／</t>
    </r>
    <r>
      <rPr>
        <sz val="9"/>
        <color rgb="FF808080"/>
        <rFont val="Arial"/>
        <family val="0"/>
        <charset val="1"/>
      </rPr>
      <t xml:space="preserve">Average </t>
    </r>
    <r>
      <rPr>
        <sz val="9"/>
        <color rgb="FF808080"/>
        <rFont val="Linux Libertine G"/>
        <family val="2"/>
      </rPr>
      <t xml:space="preserve">讀值入鏡；用 </t>
    </r>
    <r>
      <rPr>
        <sz val="9"/>
        <color rgb="FF808080"/>
        <rFont val="Arial"/>
        <family val="0"/>
        <charset val="1"/>
      </rPr>
      <t xml:space="preserve">[Save/Recall] </t>
    </r>
    <r>
      <rPr>
        <sz val="9"/>
        <color rgb="FF808080"/>
        <rFont val="Linux Libertine G"/>
        <family val="2"/>
      </rPr>
      <t xml:space="preserve">存 </t>
    </r>
    <r>
      <rPr>
        <sz val="9"/>
        <color rgb="FF808080"/>
        <rFont val="Arial"/>
        <family val="0"/>
        <charset val="1"/>
      </rPr>
      <t xml:space="preserve">USB</t>
    </r>
    <r>
      <rPr>
        <sz val="9"/>
        <color rgb="FF808080"/>
        <rFont val="Linux Libertine G"/>
        <family val="2"/>
      </rPr>
      <t xml:space="preserve">，不要手機翻拍</t>
    </r>
  </si>
  <si>
    <r>
      <rPr>
        <sz val="11"/>
        <rFont val="Linux Libertine G"/>
        <family val="2"/>
      </rPr>
      <t xml:space="preserve">示波器畫面（加 </t>
    </r>
    <r>
      <rPr>
        <sz val="11"/>
        <rFont val="Arial"/>
        <family val="0"/>
        <charset val="1"/>
      </rPr>
      <t xml:space="preserve">1 µF</t>
    </r>
    <r>
      <rPr>
        <sz val="11"/>
        <rFont val="Linux Libertine G"/>
        <family val="2"/>
      </rPr>
      <t xml:space="preserve">）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</si>
  <si>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t xml:space="preserve">同上，另外要能看出漣波的谷值</t>
  </si>
  <si>
    <r>
      <rPr>
        <sz val="11"/>
        <rFont val="Linux Libertine G"/>
        <family val="2"/>
      </rPr>
      <t xml:space="preserve">麵包板全景照 </t>
    </r>
    <r>
      <rPr>
        <sz val="11"/>
        <rFont val="Arial"/>
        <family val="0"/>
        <charset val="1"/>
      </rPr>
      <t xml:space="preserve">2 </t>
    </r>
    <r>
      <rPr>
        <sz val="11"/>
        <rFont val="Linux Libertine G"/>
        <family val="2"/>
      </rPr>
      <t xml:space="preserve">張</t>
    </r>
  </si>
  <si>
    <t xml:space="preserve">有／無電容各一張，看得出每顆元件插在第幾欄</t>
  </si>
  <si>
    <t xml:space="preserve">記錄表三個區段填滿</t>
  </si>
  <si>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欄不要留空，效率靠它算</t>
    </r>
  </si>
  <si>
    <r>
      <rPr>
        <b val="true"/>
        <sz val="14"/>
        <rFont val="Linux Libertine G"/>
        <family val="2"/>
      </rPr>
      <t xml:space="preserve">實驗四：全波橋式整流器與齊納穩壓（</t>
    </r>
    <r>
      <rPr>
        <b val="true"/>
        <sz val="14"/>
        <rFont val="Arial"/>
        <family val="0"/>
        <charset val="1"/>
      </rPr>
      <t xml:space="preserve">Full-wave Bridge / Zener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</si>
  <si>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25–27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60 Hz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5 Vpp</t>
    </r>
    <r>
      <rPr>
        <sz val="9"/>
        <color rgb="FF808080"/>
        <rFont val="Linux Libertine G"/>
        <family val="2"/>
      </rPr>
      <t xml:space="preserve">、四顆 </t>
    </r>
    <r>
      <rPr>
        <sz val="9"/>
        <color rgb="FF808080"/>
        <rFont val="Arial"/>
        <family val="0"/>
        <charset val="1"/>
      </rPr>
      <t xml:space="preserve">1N4007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R_L = 10 kΩ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C = 1 µF</t>
    </r>
  </si>
  <si>
    <r>
      <rPr>
        <sz val="11"/>
        <rFont val="Linux Libertine G"/>
        <family val="2"/>
      </rPr>
      <t xml:space="preserve">輸入 </t>
    </r>
    <r>
      <rPr>
        <sz val="11"/>
        <rFont val="Arial"/>
        <family val="0"/>
        <charset val="1"/>
      </rPr>
      <t xml:space="preserve">V_in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A–B</t>
    </r>
    <r>
      <rPr>
        <sz val="11"/>
        <rFont val="Linux Libertine G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</si>
  <si>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5 Vpp </t>
    </r>
    <r>
      <rPr>
        <sz val="9"/>
        <color rgb="FF808080"/>
        <rFont val="Linux Libertine G"/>
        <family val="2"/>
      </rPr>
      <t xml:space="preserve">正弦的峰值。接地陷阱見筆記，不能兩支探棒同時跨輸入與輸出</t>
    </r>
  </si>
  <si>
    <t xml:space="preserve">V_p / √2</t>
  </si>
  <si>
    <r>
      <rPr>
        <sz val="11"/>
        <rFont val="Linux Libertine G"/>
        <family val="2"/>
      </rPr>
      <t xml:space="preserve">輸出 無 </t>
    </r>
    <r>
      <rPr>
        <sz val="11"/>
        <rFont val="Arial"/>
        <family val="0"/>
        <charset val="1"/>
      </rPr>
      <t xml:space="preserve">C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25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</si>
  <si>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Linux Libertine G"/>
        <family val="2"/>
      </rPr>
      <t xml:space="preserve">理想 </t>
    </r>
    <r>
      <rPr>
        <sz val="9"/>
        <color rgb="FF808080"/>
        <rFont val="Arial"/>
        <family val="0"/>
        <charset val="1"/>
      </rPr>
      <t xml:space="preserve">= 2.5 − 2×V_D,on</t>
    </r>
    <r>
      <rPr>
        <sz val="9"/>
        <color rgb="FF808080"/>
        <rFont val="Linux Libertine G"/>
        <family val="2"/>
      </rPr>
      <t xml:space="preserve">，用 </t>
    </r>
    <r>
      <rPr>
        <sz val="9"/>
        <color rgb="FF808080"/>
        <rFont val="Arial"/>
        <family val="0"/>
        <charset val="1"/>
      </rPr>
      <t xml:space="preserve">0.7 V </t>
    </r>
    <r>
      <rPr>
        <sz val="9"/>
        <color rgb="FF808080"/>
        <rFont val="Linux Libertine G"/>
        <family val="2"/>
      </rPr>
      <t xml:space="preserve">估</t>
    </r>
  </si>
  <si>
    <r>
      <rPr>
        <sz val="9"/>
        <color rgb="FF808080"/>
        <rFont val="Linux Libertine G"/>
        <family val="2"/>
      </rPr>
      <t xml:space="preserve">理想全波 </t>
    </r>
    <r>
      <rPr>
        <sz val="9"/>
        <color rgb="FF808080"/>
        <rFont val="Arial"/>
        <family val="0"/>
        <charset val="1"/>
      </rPr>
      <t xml:space="preserve">V_p′ / √2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V_p′ </t>
    </r>
    <r>
      <rPr>
        <sz val="9"/>
        <color rgb="FF808080"/>
        <rFont val="Linux Libertine G"/>
        <family val="2"/>
      </rPr>
      <t xml:space="preserve">取理想輸出峰值 </t>
    </r>
    <r>
      <rPr>
        <sz val="9"/>
        <color rgb="FF808080"/>
        <rFont val="Arial"/>
        <family val="0"/>
        <charset val="1"/>
      </rPr>
      <t xml:space="preserve">1.1 V</t>
    </r>
    <r>
      <rPr>
        <sz val="9"/>
        <color rgb="FF808080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</si>
  <si>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理想全波 </t>
    </r>
    <r>
      <rPr>
        <sz val="9"/>
        <color rgb="FF808080"/>
        <rFont val="Arial"/>
        <family val="0"/>
        <charset val="1"/>
      </rPr>
      <t xml:space="preserve">2V_p′ / π</t>
    </r>
  </si>
  <si>
    <r>
      <rPr>
        <sz val="11"/>
        <rFont val="Linux Libertine G"/>
        <family val="2"/>
      </rPr>
      <t xml:space="preserve">輸出 加 </t>
    </r>
    <r>
      <rPr>
        <sz val="11"/>
        <rFont val="Arial"/>
        <family val="0"/>
        <charset val="1"/>
      </rPr>
      <t xml:space="preserve">1 µF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26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</si>
  <si>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Arial"/>
        <family val="0"/>
        <charset val="1"/>
      </rPr>
      <t xml:space="preserve">Tinkercad </t>
    </r>
    <r>
      <rPr>
        <sz val="9"/>
        <color rgb="FF808080"/>
        <rFont val="Linux Libertine G"/>
        <family val="2"/>
      </rPr>
      <t xml:space="preserve">跑不動這一版，波形以示波器實測為準</t>
    </r>
  </si>
  <si>
    <r>
      <rPr>
        <sz val="9"/>
        <color rgb="FF808080"/>
        <rFont val="Linux Libertine G"/>
        <family val="2"/>
      </rPr>
      <t xml:space="preserve">理想 </t>
    </r>
    <r>
      <rPr>
        <sz val="9"/>
        <color rgb="FF808080"/>
        <rFont val="Arial"/>
        <family val="0"/>
        <charset val="1"/>
      </rPr>
      <t xml:space="preserve">V_p′/(2·R_L·C·f)</t>
    </r>
  </si>
  <si>
    <r>
      <rPr>
        <sz val="11"/>
        <rFont val="Linux Libertine G"/>
        <family val="2"/>
      </rPr>
      <t xml:space="preserve">輸出 加齊納（第 </t>
    </r>
    <r>
      <rPr>
        <sz val="11"/>
        <rFont val="Arial"/>
        <family val="0"/>
        <charset val="1"/>
      </rPr>
      <t xml:space="preserve">27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</si>
  <si>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Linux Libertine G"/>
        <family val="2"/>
      </rPr>
      <t xml:space="preserve">預報 </t>
    </r>
    <r>
      <rPr>
        <sz val="9"/>
        <color rgb="FF808080"/>
        <rFont val="Arial"/>
        <family val="0"/>
        <charset val="1"/>
      </rPr>
      <t xml:space="preserve">= </t>
    </r>
    <r>
      <rPr>
        <sz val="9"/>
        <color rgb="FF808080"/>
        <rFont val="Linux Libertine G"/>
        <family val="2"/>
      </rPr>
      <t xml:space="preserve">和沒接齊納時相同：</t>
    </r>
    <r>
      <rPr>
        <sz val="9"/>
        <color rgb="FF808080"/>
        <rFont val="Arial"/>
        <family val="0"/>
        <charset val="1"/>
      </rPr>
      <t xml:space="preserve">5 Vpp </t>
    </r>
    <r>
      <rPr>
        <sz val="9"/>
        <color rgb="FF808080"/>
        <rFont val="Linux Libertine G"/>
        <family val="2"/>
      </rPr>
      <t xml:space="preserve">下輸出峰值只有約 </t>
    </r>
    <r>
      <rPr>
        <sz val="9"/>
        <color rgb="FF808080"/>
        <rFont val="Arial"/>
        <family val="0"/>
        <charset val="1"/>
      </rPr>
      <t xml:space="preserve">1.5 V</t>
    </r>
    <r>
      <rPr>
        <sz val="9"/>
        <color rgb="FF808080"/>
        <rFont val="Linux Libertine G"/>
        <family val="2"/>
      </rPr>
      <t xml:space="preserve">，遠低於任何常見 </t>
    </r>
    <r>
      <rPr>
        <sz val="9"/>
        <color rgb="FF808080"/>
        <rFont val="Arial"/>
        <family val="0"/>
        <charset val="1"/>
      </rPr>
      <t xml:space="preserve">V_Z</t>
    </r>
    <r>
      <rPr>
        <sz val="9"/>
        <color rgb="FF808080"/>
        <rFont val="Linux Libertine G"/>
        <family val="2"/>
      </rPr>
      <t xml:space="preserve">，齊納不會導通</t>
    </r>
  </si>
  <si>
    <t xml:space="preserve">V_drop (V)</t>
  </si>
  <si>
    <r>
      <rPr>
        <sz val="9"/>
        <color rgb="FF808080"/>
        <rFont val="Linux Libertine G"/>
        <family val="2"/>
      </rPr>
      <t xml:space="preserve">講義要記的「</t>
    </r>
    <r>
      <rPr>
        <sz val="9"/>
        <color rgb="FF808080"/>
        <rFont val="Arial"/>
        <family val="0"/>
        <charset val="1"/>
      </rPr>
      <t xml:space="preserve">V_in &lt; V_Z </t>
    </r>
    <r>
      <rPr>
        <sz val="9"/>
        <color rgb="FF808080"/>
        <rFont val="Linux Libertine G"/>
        <family val="2"/>
      </rPr>
      <t xml:space="preserve">期間的落差」。齊納沒導通就沒有削平，照實記錄觀察到的值</t>
    </r>
  </si>
  <si>
    <r>
      <rPr>
        <b val="true"/>
        <sz val="11"/>
        <rFont val="Linux Libertine G"/>
        <family val="2"/>
      </rPr>
      <t xml:space="preserve">整流效率 </t>
    </r>
    <r>
      <rPr>
        <b val="true"/>
        <sz val="11"/>
        <rFont val="Arial"/>
        <family val="0"/>
        <charset val="1"/>
      </rPr>
      <t xml:space="preserve">η = V_avg² / V_rms²</t>
    </r>
  </si>
  <si>
    <r>
      <rPr>
        <sz val="9"/>
        <color rgb="FF808080"/>
        <rFont val="Linux Libertine G"/>
        <family val="2"/>
      </rPr>
      <t xml:space="preserve">填好第 </t>
    </r>
    <r>
      <rPr>
        <sz val="9"/>
        <color rgb="FF808080"/>
        <rFont val="Arial"/>
        <family val="0"/>
        <charset val="1"/>
      </rPr>
      <t xml:space="preserve">9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與第 </t>
    </r>
    <r>
      <rPr>
        <sz val="9"/>
        <color rgb="FF808080"/>
        <rFont val="Arial"/>
        <family val="0"/>
        <charset val="1"/>
      </rPr>
      <t xml:space="preserve">8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V_rms </t>
    </r>
    <r>
      <rPr>
        <sz val="9"/>
        <color rgb="FF808080"/>
        <rFont val="Linux Libertine G"/>
        <family val="2"/>
      </rPr>
      <t xml:space="preserve">就會自己算；理想全波上限 </t>
    </r>
    <r>
      <rPr>
        <sz val="9"/>
        <color rgb="FF808080"/>
        <rFont val="Arial"/>
        <family val="0"/>
        <charset val="1"/>
      </rPr>
      <t xml:space="preserve">8/π² = 81.1%</t>
    </r>
  </si>
  <si>
    <r>
      <rPr>
        <b val="true"/>
        <sz val="11"/>
        <rFont val="Linux Libertine G"/>
        <family val="2"/>
      </rPr>
      <t xml:space="preserve">漣波比 </t>
    </r>
    <r>
      <rPr>
        <b val="true"/>
        <sz val="11"/>
        <rFont val="Arial"/>
        <family val="0"/>
        <charset val="1"/>
      </rPr>
      <t xml:space="preserve">V_R / V_p</t>
    </r>
    <r>
      <rPr>
        <b val="true"/>
        <sz val="11"/>
        <rFont val="Linux Libertine G"/>
        <family val="2"/>
      </rPr>
      <t xml:space="preserve">（加 </t>
    </r>
    <r>
      <rPr>
        <b val="true"/>
        <sz val="11"/>
        <rFont val="Arial"/>
        <family val="0"/>
        <charset val="1"/>
      </rPr>
      <t xml:space="preserve">1 µF</t>
    </r>
    <r>
      <rPr>
        <b val="true"/>
        <sz val="11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</si>
  <si>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講義要記的 </t>
    </r>
    <r>
      <rPr>
        <sz val="9"/>
        <color rgb="FF808080"/>
        <rFont val="Arial"/>
        <family val="0"/>
        <charset val="1"/>
      </rPr>
      <t xml:space="preserve">Ratio </t>
    </r>
    <r>
      <rPr>
        <sz val="9"/>
        <color rgb="FF808080"/>
        <rFont val="Linux Libertine G"/>
        <family val="2"/>
      </rPr>
      <t xml:space="preserve">欄＝第 </t>
    </r>
    <r>
      <rPr>
        <sz val="9"/>
        <color rgb="FF808080"/>
        <rFont val="Arial"/>
        <family val="0"/>
        <charset val="1"/>
      </rPr>
      <t xml:space="preserve">11 </t>
    </r>
    <r>
      <rPr>
        <sz val="9"/>
        <color rgb="FF808080"/>
        <rFont val="Linux Libertine G"/>
        <family val="2"/>
      </rPr>
      <t xml:space="preserve">列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Linux Libertine G"/>
        <family val="2"/>
      </rPr>
      <t xml:space="preserve">第 </t>
    </r>
    <r>
      <rPr>
        <sz val="9"/>
        <color rgb="FF808080"/>
        <rFont val="Arial"/>
        <family val="0"/>
        <charset val="1"/>
      </rPr>
      <t xml:space="preserve">10 </t>
    </r>
    <r>
      <rPr>
        <sz val="9"/>
        <color rgb="FF808080"/>
        <rFont val="Linux Libertine G"/>
        <family val="2"/>
      </rPr>
      <t xml:space="preserve">列；設計準則 </t>
    </r>
    <r>
      <rPr>
        <sz val="9"/>
        <color rgb="FF808080"/>
        <rFont val="Arial"/>
        <family val="0"/>
        <charset val="1"/>
      </rPr>
      <t xml:space="preserve">5–10%</t>
    </r>
    <r>
      <rPr>
        <sz val="9"/>
        <color rgb="FF808080"/>
        <rFont val="Linux Libertine G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1 µF </t>
    </r>
    <r>
      <rPr>
        <sz val="9"/>
        <color rgb="FF808080"/>
        <rFont val="Linux Libertine G"/>
        <family val="2"/>
      </rPr>
      <t xml:space="preserve">遠遠不夠</t>
    </r>
  </si>
  <si>
    <r>
      <rPr>
        <sz val="9"/>
        <color rgb="FF808080"/>
        <rFont val="Linux Libertine G"/>
        <family val="2"/>
      </rPr>
      <t xml:space="preserve">預報欄來自 </t>
    </r>
    <r>
      <rPr>
        <sz val="9"/>
        <color rgb="FF808080"/>
        <rFont val="Arial"/>
        <family val="0"/>
        <charset val="1"/>
      </rPr>
      <t xml:space="preserve">lab1-exp4-bridge.raw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lab1-exp4-bridge-rc.raw</t>
    </r>
    <r>
      <rPr>
        <sz val="9"/>
        <color rgb="FF808080"/>
        <rFont val="Linux Libertine G"/>
        <family val="2"/>
      </rPr>
      <t xml:space="preserve">。齊納那一版的 </t>
    </r>
    <r>
      <rPr>
        <sz val="9"/>
        <color rgb="FF808080"/>
        <rFont val="Arial"/>
        <family val="0"/>
        <charset val="1"/>
      </rPr>
      <t xml:space="preserve">LTspice </t>
    </r>
    <r>
      <rPr>
        <sz val="9"/>
        <color rgb="FF808080"/>
        <rFont val="Linux Libertine G"/>
        <family val="2"/>
      </rPr>
      <t xml:space="preserve">檔用的是講義第 </t>
    </r>
    <r>
      <rPr>
        <sz val="9"/>
        <color rgb="FF808080"/>
        <rFont val="Arial"/>
        <family val="0"/>
        <charset val="1"/>
      </rPr>
      <t xml:space="preserve">24 </t>
    </r>
    <r>
      <rPr>
        <sz val="9"/>
        <color rgb="FF808080"/>
        <rFont val="Linux Libertine G"/>
        <family val="2"/>
      </rPr>
      <t xml:space="preserve">頁的概念電路（</t>
    </r>
    <r>
      <rPr>
        <sz val="9"/>
        <color rgb="FF808080"/>
        <rFont val="Arial"/>
        <family val="0"/>
        <charset val="1"/>
      </rPr>
      <t xml:space="preserve">±10 V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V_Z = 6.8 V</t>
    </r>
    <r>
      <rPr>
        <sz val="9"/>
        <color rgb="FF808080"/>
        <rFont val="Linux Libertine G"/>
        <family val="2"/>
      </rPr>
      <t xml:space="preserve">），和第 </t>
    </r>
    <r>
      <rPr>
        <sz val="9"/>
        <color rgb="FF808080"/>
        <rFont val="Arial"/>
        <family val="0"/>
        <charset val="1"/>
      </rPr>
      <t xml:space="preserve">27 </t>
    </r>
    <r>
      <rPr>
        <sz val="9"/>
        <color rgb="FF808080"/>
        <rFont val="Linux Libertine G"/>
        <family val="2"/>
      </rPr>
      <t xml:space="preserve">頁的 </t>
    </r>
    <r>
      <rPr>
        <sz val="9"/>
        <color rgb="FF808080"/>
        <rFont val="Arial"/>
        <family val="0"/>
        <charset val="1"/>
      </rPr>
      <t xml:space="preserve">5 Vpp </t>
    </r>
    <r>
      <rPr>
        <sz val="9"/>
        <color rgb="FF808080"/>
        <rFont val="Linux Libertine G"/>
        <family val="2"/>
      </rPr>
      <t xml:space="preserve">條件不同，所以不拿它當預報值。</t>
    </r>
  </si>
  <si>
    <r>
      <rPr>
        <sz val="11"/>
        <rFont val="Linux Libertine G"/>
        <family val="2"/>
      </rPr>
      <t xml:space="preserve">示波器畫面 </t>
    </r>
    <r>
      <rPr>
        <sz val="11"/>
        <rFont val="Arial"/>
        <family val="0"/>
        <charset val="1"/>
      </rPr>
      <t xml:space="preserve">3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</si>
  <si>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Linux Libertine G"/>
        <family val="2"/>
      </rPr>
      <t xml:space="preserve">無 </t>
    </r>
    <r>
      <rPr>
        <sz val="9"/>
        <color rgb="FF808080"/>
        <rFont val="Arial"/>
        <family val="0"/>
        <charset val="1"/>
      </rPr>
      <t xml:space="preserve">C</t>
    </r>
    <r>
      <rPr>
        <sz val="9"/>
        <color rgb="FF808080"/>
        <rFont val="Linux Libertine G"/>
        <family val="2"/>
      </rPr>
      <t xml:space="preserve">、加 </t>
    </r>
    <r>
      <rPr>
        <sz val="9"/>
        <color rgb="FF808080"/>
        <rFont val="Arial"/>
        <family val="0"/>
        <charset val="1"/>
      </rPr>
      <t xml:space="preserve">1 µF</t>
    </r>
    <r>
      <rPr>
        <sz val="9"/>
        <color rgb="FF808080"/>
        <rFont val="Linux Libertine G"/>
        <family val="2"/>
      </rPr>
      <t xml:space="preserve">、加齊納各一張；</t>
    </r>
    <r>
      <rPr>
        <sz val="9"/>
        <color rgb="FF808080"/>
        <rFont val="Arial"/>
        <family val="0"/>
        <charset val="1"/>
      </rPr>
      <t xml:space="preserve">[Meas] </t>
    </r>
    <r>
      <rPr>
        <sz val="9"/>
        <color rgb="FF808080"/>
        <rFont val="Linux Libertine G"/>
        <family val="2"/>
      </rPr>
      <t xml:space="preserve">讀值入鏡，存 </t>
    </r>
    <r>
      <rPr>
        <sz val="9"/>
        <color rgb="FF808080"/>
        <rFont val="Arial"/>
        <family val="0"/>
        <charset val="1"/>
      </rPr>
      <t xml:space="preserve">USB</t>
    </r>
  </si>
  <si>
    <r>
      <rPr>
        <sz val="11"/>
        <rFont val="Linux Libertine G"/>
        <family val="2"/>
      </rPr>
      <t xml:space="preserve">示波器地夾位置 </t>
    </r>
    <r>
      <rPr>
        <sz val="11"/>
        <rFont val="Arial"/>
        <family val="0"/>
        <charset val="1"/>
      </rPr>
      <t xml:space="preserve">1 </t>
    </r>
    <r>
      <rPr>
        <sz val="11"/>
        <rFont val="Linux Libertine G"/>
        <family val="2"/>
      </rPr>
      <t xml:space="preserve">張</t>
    </r>
  </si>
  <si>
    <r>
      <rPr>
        <sz val="9"/>
        <color rgb="FF808080"/>
        <rFont val="Linux Libertine G"/>
        <family val="2"/>
      </rPr>
      <t xml:space="preserve">地夾只夾 </t>
    </r>
    <r>
      <rPr>
        <sz val="9"/>
        <color rgb="FF808080"/>
        <rFont val="Arial"/>
        <family val="0"/>
        <charset val="1"/>
      </rPr>
      <t xml:space="preserve">N </t>
    </r>
    <r>
      <rPr>
        <sz val="9"/>
        <color rgb="FF808080"/>
        <rFont val="Linux Libertine G"/>
        <family val="2"/>
      </rPr>
      <t xml:space="preserve">或只夾 </t>
    </r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Linux Libertine G"/>
        <family val="2"/>
      </rPr>
      <t xml:space="preserve">，不可同時跨輸入與輸出（接地陷阱）</t>
    </r>
  </si>
  <si>
    <r>
      <rPr>
        <sz val="11"/>
        <rFont val="Linux Libertine G"/>
        <family val="2"/>
      </rPr>
      <t xml:space="preserve">麵包板全景照 </t>
    </r>
    <r>
      <rPr>
        <sz val="11"/>
        <rFont val="Arial"/>
        <family val="0"/>
        <charset val="1"/>
      </rPr>
      <t xml:space="preserve">3 </t>
    </r>
    <r>
      <rPr>
        <sz val="11"/>
        <rFont val="Linux Libertine G"/>
        <family val="2"/>
      </rPr>
      <t xml:space="preserve">張</t>
    </r>
  </si>
  <si>
    <t xml:space="preserve">三個版本各一張，四顆二極體的色環方向要看得清楚</t>
  </si>
  <si>
    <t xml:space="preserve">記錄表四個區段填滿</t>
  </si>
  <si>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欄不要留空；齊納沒導通就照實記 </t>
    </r>
    <r>
      <rPr>
        <sz val="9"/>
        <color rgb="FF808080"/>
        <rFont val="Arial"/>
        <family val="0"/>
        <charset val="1"/>
      </rPr>
      <t xml:space="preserve">V_drop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</si>
</sst>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00"/>
    <numFmt numFmtId="167" formatCode="0.0%"/>
    <numFmt numFmtId="168" formatCode="0"/>
    <numFmt numFmtId="169" formatCode="0.00000"/>
  </numFmts>
  <fonts count="18">
    <font>
      <sz val="11"/>
      <color theme="1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Arial"/>
      <family val="2"/>
    </font>
    <font>
      <sz val="9"/>
      <color rgb="FF808080"/>
      <name val="Arial"/>
      <family val="2"/>
    </font>
    <font>
      <sz val="9"/>
      <color rgb="FF808080"/>
      <name val="Arial"/>
      <family val="0"/>
      <charset val="1"/>
    </font>
    <font>
      <b val="true"/>
      <sz val="11"/>
      <name val="Arial"/>
      <family val="2"/>
    </font>
    <font>
      <sz val="11"/>
      <name val="Arial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Arial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FFF2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實驗一 I-V 特性曲線：實測 vs LTspice 預報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"實測（電表）"</c:f>
              <c:strCache>
                <c:ptCount val="1"/>
                <c:pt idx="0">
                  <c:v>實測（電表）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順偏'!$B$7:$B$26</c:f>
              <c:numCache>
                <c:formatCode>General</c:formatCode>
                <c:ptCount val="20"/>
              </c:numCache>
            </c:numRef>
          </c:xVal>
          <c:yVal>
            <c:numRef>
              <c:f>'實驗一 順偏'!$C$7:$C$26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 1N4007（預報）"</c:f>
              <c:strCache>
                <c:ptCount val="1"/>
                <c:pt idx="0">
                  <c:v>LTspice 1N4007（預報）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順偏'!$G$7:$G$26</c:f>
              <c:numCache>
                <c:formatCode>0.000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0.2996</c:v>
                </c:pt>
                <c:pt idx="3">
                  <c:v>0.3951</c:v>
                </c:pt>
                <c:pt idx="4">
                  <c:v>0.4655</c:v>
                </c:pt>
                <c:pt idx="5">
                  <c:v>0.503</c:v>
                </c:pt>
                <c:pt idx="6">
                  <c:v>0.5245</c:v>
                </c:pt>
                <c:pt idx="7">
                  <c:v>0.5389</c:v>
                </c:pt>
                <c:pt idx="8">
                  <c:v>0.5495</c:v>
                </c:pt>
                <c:pt idx="9">
                  <c:v>0.5579</c:v>
                </c:pt>
                <c:pt idx="10">
                  <c:v>0.5648</c:v>
                </c:pt>
                <c:pt idx="11">
                  <c:v>0.5707</c:v>
                </c:pt>
                <c:pt idx="12">
                  <c:v>0.5758</c:v>
                </c:pt>
                <c:pt idx="13">
                  <c:v>0.5803</c:v>
                </c:pt>
                <c:pt idx="14">
                  <c:v>0.5843</c:v>
                </c:pt>
                <c:pt idx="15">
                  <c:v>0.5879</c:v>
                </c:pt>
                <c:pt idx="16">
                  <c:v>0.5912</c:v>
                </c:pt>
                <c:pt idx="17">
                  <c:v>0.5943</c:v>
                </c:pt>
                <c:pt idx="18">
                  <c:v>0.5971</c:v>
                </c:pt>
                <c:pt idx="19">
                  <c:v>0.5997</c:v>
                </c:pt>
              </c:numCache>
            </c:numRef>
          </c:xVal>
          <c:yVal>
            <c:numRef>
              <c:f>'實驗一 順偏'!$H$7:$H$26</c:f>
              <c:numCache>
                <c:formatCode>0.000</c:formatCode>
                <c:ptCount val="20"/>
                <c:pt idx="0">
                  <c:v>0</c:v>
                </c:pt>
                <c:pt idx="1">
                  <c:v>2E-005</c:v>
                </c:pt>
                <c:pt idx="2">
                  <c:v>0.00035</c:v>
                </c:pt>
                <c:pt idx="3">
                  <c:v>0.00493</c:v>
                </c:pt>
                <c:pt idx="4">
                  <c:v>0.03447</c:v>
                </c:pt>
                <c:pt idx="5">
                  <c:v>0.09701</c:v>
                </c:pt>
                <c:pt idx="6">
                  <c:v>0.17553</c:v>
                </c:pt>
                <c:pt idx="7">
                  <c:v>0.26114</c:v>
                </c:pt>
                <c:pt idx="8">
                  <c:v>0.35048</c:v>
                </c:pt>
                <c:pt idx="9">
                  <c:v>0.44207</c:v>
                </c:pt>
                <c:pt idx="10">
                  <c:v>0.53515</c:v>
                </c:pt>
                <c:pt idx="11">
                  <c:v>0.62928</c:v>
                </c:pt>
                <c:pt idx="12">
                  <c:v>0.72419</c:v>
                </c:pt>
                <c:pt idx="13">
                  <c:v>0.8197</c:v>
                </c:pt>
                <c:pt idx="14">
                  <c:v>0.91569</c:v>
                </c:pt>
                <c:pt idx="15">
                  <c:v>1.01206</c:v>
                </c:pt>
                <c:pt idx="16">
                  <c:v>1.10875</c:v>
                </c:pt>
                <c:pt idx="17">
                  <c:v>1.20571</c:v>
                </c:pt>
                <c:pt idx="18">
                  <c:v>1.3029</c:v>
                </c:pt>
                <c:pt idx="19">
                  <c:v>1.40029</c:v>
                </c:pt>
              </c:numCache>
            </c:numRef>
          </c:yVal>
          <c:smooth val="1"/>
        </c:ser>
        <c:axId val="76466196"/>
        <c:axId val="69907774"/>
      </c:scatterChart>
      <c:valAx>
        <c:axId val="7646619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V_D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907774"/>
        <c:crosses val="autoZero"/>
        <c:crossBetween val="midCat"/>
      </c:valAx>
      <c:valAx>
        <c:axId val="699077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 (mA)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466196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實驗一 V_D 對 Vs：過了導通電壓就幾乎不再上升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"實測"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順偏'!$A$7:$A$26</c:f>
              <c:numCache>
                <c:formatCode>0.0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</c:numCache>
            </c:numRef>
          </c:xVal>
          <c:yVal>
            <c:numRef>
              <c:f>'實驗一 順偏'!$B$7:$B$26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"LTspice"</c:f>
              <c:strCache>
                <c:ptCount val="1"/>
                <c:pt idx="0">
                  <c:v>LTspice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順偏'!$A$7:$A$26</c:f>
              <c:numCache>
                <c:formatCode>0.0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</c:numCache>
            </c:numRef>
          </c:xVal>
          <c:yVal>
            <c:numRef>
              <c:f>'實驗一 順偏'!$G$7:$G$26</c:f>
              <c:numCache>
                <c:formatCode>0.000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0.2996</c:v>
                </c:pt>
                <c:pt idx="3">
                  <c:v>0.3951</c:v>
                </c:pt>
                <c:pt idx="4">
                  <c:v>0.4655</c:v>
                </c:pt>
                <c:pt idx="5">
                  <c:v>0.503</c:v>
                </c:pt>
                <c:pt idx="6">
                  <c:v>0.5245</c:v>
                </c:pt>
                <c:pt idx="7">
                  <c:v>0.5389</c:v>
                </c:pt>
                <c:pt idx="8">
                  <c:v>0.5495</c:v>
                </c:pt>
                <c:pt idx="9">
                  <c:v>0.5579</c:v>
                </c:pt>
                <c:pt idx="10">
                  <c:v>0.5648</c:v>
                </c:pt>
                <c:pt idx="11">
                  <c:v>0.5707</c:v>
                </c:pt>
                <c:pt idx="12">
                  <c:v>0.5758</c:v>
                </c:pt>
                <c:pt idx="13">
                  <c:v>0.5803</c:v>
                </c:pt>
                <c:pt idx="14">
                  <c:v>0.5843</c:v>
                </c:pt>
                <c:pt idx="15">
                  <c:v>0.5879</c:v>
                </c:pt>
                <c:pt idx="16">
                  <c:v>0.5912</c:v>
                </c:pt>
                <c:pt idx="17">
                  <c:v>0.5943</c:v>
                </c:pt>
                <c:pt idx="18">
                  <c:v>0.5971</c:v>
                </c:pt>
                <c:pt idx="19">
                  <c:v>0.5997</c:v>
                </c:pt>
              </c:numCache>
            </c:numRef>
          </c:yVal>
          <c:smooth val="1"/>
        </c:ser>
        <c:axId val="60789186"/>
        <c:axId val="73132960"/>
      </c:scatterChart>
      <c:valAx>
        <c:axId val="6078918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132960"/>
        <c:crosses val="autoZero"/>
        <c:crossBetween val="midCat"/>
      </c:valAx>
      <c:valAx>
        <c:axId val="73132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V_D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789186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實驗二 V_D 對 Vs：逆偏時 V_D 幾乎等於 Vs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"實測"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逆偏'!$B$7:$B$26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"LTspice"</c:f>
              <c:strCache>
                <c:ptCount val="1"/>
                <c:pt idx="0">
                  <c:v>LTspice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逆偏'!$E$7:$E$26</c:f>
              <c:numCache>
                <c:formatCode>0.000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yVal>
          <c:smooth val="1"/>
        </c:ser>
        <c:axId val="73891532"/>
        <c:axId val="81684796"/>
      </c:scatterChart>
      <c:valAx>
        <c:axId val="7389153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84796"/>
        <c:crosses val="autoZero"/>
        <c:crossBetween val="midCat"/>
      </c:valAx>
      <c:valAx>
        <c:axId val="816847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V_D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891532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實驗二 漏電流對 Vs：實測、LTspice 與 datasheet 上限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"實測"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逆偏'!$C$7:$C$26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 1N4007"</c:f>
              <c:strCache>
                <c:ptCount val="1"/>
                <c:pt idx="0">
                  <c:v>LTspice 1N4007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逆偏'!$G$7:$G$26</c:f>
              <c:numCache>
                <c:formatCode>0.00000</c:formatCode>
                <c:ptCount val="20"/>
                <c:pt idx="0">
                  <c:v>9.1E-005</c:v>
                </c:pt>
                <c:pt idx="1">
                  <c:v>9.2E-005</c:v>
                </c:pt>
                <c:pt idx="2">
                  <c:v>9.3E-005</c:v>
                </c:pt>
                <c:pt idx="3">
                  <c:v>9.4E-005</c:v>
                </c:pt>
                <c:pt idx="4">
                  <c:v>9.5E-005</c:v>
                </c:pt>
                <c:pt idx="5">
                  <c:v>9.6E-005</c:v>
                </c:pt>
                <c:pt idx="6">
                  <c:v>9.7E-005</c:v>
                </c:pt>
                <c:pt idx="7">
                  <c:v>9.8E-005</c:v>
                </c:pt>
                <c:pt idx="8">
                  <c:v>9.9E-005</c:v>
                </c:pt>
                <c:pt idx="9">
                  <c:v>0.0001</c:v>
                </c:pt>
                <c:pt idx="10">
                  <c:v>0.000101</c:v>
                </c:pt>
                <c:pt idx="11">
                  <c:v>0.000102</c:v>
                </c:pt>
                <c:pt idx="12">
                  <c:v>0.000103</c:v>
                </c:pt>
                <c:pt idx="13">
                  <c:v>0.000104</c:v>
                </c:pt>
                <c:pt idx="14">
                  <c:v>0.000105</c:v>
                </c:pt>
                <c:pt idx="15">
                  <c:v>0.000106</c:v>
                </c:pt>
                <c:pt idx="16">
                  <c:v>0.000107</c:v>
                </c:pt>
                <c:pt idx="17">
                  <c:v>0.000108</c:v>
                </c:pt>
                <c:pt idx="18">
                  <c:v>0.000109</c:v>
                </c:pt>
                <c:pt idx="19">
                  <c:v>0.00011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"datasheet 上限 5 µA"</c:f>
              <c:strCache>
                <c:ptCount val="1"/>
                <c:pt idx="0">
                  <c:v>datasheet 上限 5 µA</c:v>
                </c:pt>
              </c:strCache>
            </c:strRef>
          </c:tx>
          <c:spPr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逆偏'!$H$7:$H$26</c:f>
              <c:numCache>
                <c:formatCode>0.0</c:formatCode>
                <c:ptCount val="2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1"/>
        </c:ser>
        <c:axId val="14949970"/>
        <c:axId val="19613925"/>
      </c:scatterChart>
      <c:valAx>
        <c:axId val="149499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613925"/>
        <c:crosses val="autoZero"/>
        <c:crossBetween val="midCat"/>
      </c:valAx>
      <c:valAx>
        <c:axId val="19613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 (µA)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949970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實驗三：實測 vs LTspice 預報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'實驗三 半波'!C4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'實驗三 半波'!$B$5:$B$13</c:f>
              <c:strCache>
                <c:ptCount val="9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V_rms (V)</c:v>
                </c:pt>
                <c:pt idx="7">
                  <c:v>V_avg (V)</c:v>
                </c:pt>
                <c:pt idx="8">
                  <c:v>漣波 V_R (V)</c:v>
                </c:pt>
              </c:strCache>
            </c:strRef>
          </c:cat>
          <c:val>
            <c:numRef>
              <c:f>'實驗三 半波'!$C$5:$C$13</c:f>
              <c:numCache>
                <c:formatCode>General</c:formatCode>
                <c:ptCount val="9"/>
              </c:numCache>
            </c:numRef>
          </c:val>
        </c:ser>
        <c:ser>
          <c:idx val="1"/>
          <c:order val="1"/>
          <c:tx>
            <c:strRef>
              <c:f>'實驗三 半波'!D4</c:f>
              <c:strCache>
                <c:ptCount val="1"/>
                <c:pt idx="0">
                  <c:v>預報（LTspice）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'實驗三 半波'!$B$5:$B$13</c:f>
              <c:strCache>
                <c:ptCount val="9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V_rms (V)</c:v>
                </c:pt>
                <c:pt idx="7">
                  <c:v>V_avg (V)</c:v>
                </c:pt>
                <c:pt idx="8">
                  <c:v>漣波 V_R (V)</c:v>
                </c:pt>
              </c:strCache>
            </c:strRef>
          </c:cat>
          <c:val>
            <c:numRef>
              <c:f>'實驗三 半波'!$D$5:$D$13</c:f>
              <c:numCache>
                <c:formatCode>0.000</c:formatCode>
                <c:ptCount val="9"/>
                <c:pt idx="0">
                  <c:v>5</c:v>
                </c:pt>
                <c:pt idx="1">
                  <c:v>3.536</c:v>
                </c:pt>
                <c:pt idx="2">
                  <c:v>4.442</c:v>
                </c:pt>
                <c:pt idx="3">
                  <c:v>2.158</c:v>
                </c:pt>
                <c:pt idx="4">
                  <c:v>1.334</c:v>
                </c:pt>
                <c:pt idx="5">
                  <c:v>4.44</c:v>
                </c:pt>
                <c:pt idx="6">
                  <c:v>2.877</c:v>
                </c:pt>
                <c:pt idx="7">
                  <c:v>2.692</c:v>
                </c:pt>
                <c:pt idx="8">
                  <c:v>3.222</c:v>
                </c:pt>
              </c:numCache>
            </c:numRef>
          </c:val>
        </c:ser>
        <c:gapWidth val="150"/>
        <c:overlap val="0"/>
        <c:axId val="79323698"/>
        <c:axId val="78012591"/>
      </c:barChart>
      <c:catAx>
        <c:axId val="793236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012591"/>
        <c:crosses val="autoZero"/>
        <c:auto val="1"/>
        <c:lblAlgn val="ctr"/>
        <c:lblOffset val="100"/>
        <c:noMultiLvlLbl val="0"/>
      </c:catAx>
      <c:valAx>
        <c:axId val="78012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電壓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323698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實驗四：實測 vs LTspice 預報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'實驗四 橋式'!C4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'實驗四 橋式'!$B$5:$B$13</c:f>
              <c:strCache>
                <c:ptCount val="9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漣波 V_R (V)</c:v>
                </c:pt>
                <c:pt idx="7">
                  <c:v>V_peak (V)</c:v>
                </c:pt>
                <c:pt idx="8">
                  <c:v>V_drop (V)</c:v>
                </c:pt>
              </c:strCache>
            </c:strRef>
          </c:cat>
          <c:val>
            <c:numRef>
              <c:f>'實驗四 橋式'!$C$5:$C$13</c:f>
              <c:numCache>
                <c:formatCode>General</c:formatCode>
                <c:ptCount val="9"/>
              </c:numCache>
            </c:numRef>
          </c:val>
        </c:ser>
        <c:ser>
          <c:idx val="1"/>
          <c:order val="1"/>
          <c:tx>
            <c:strRef>
              <c:f>'實驗四 橋式'!D4</c:f>
              <c:strCache>
                <c:ptCount val="1"/>
                <c:pt idx="0">
                  <c:v>預報（LTspice）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'實驗四 橋式'!$B$5:$B$13</c:f>
              <c:strCache>
                <c:ptCount val="9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漣波 V_R (V)</c:v>
                </c:pt>
                <c:pt idx="7">
                  <c:v>V_peak (V)</c:v>
                </c:pt>
                <c:pt idx="8">
                  <c:v>V_drop (V)</c:v>
                </c:pt>
              </c:strCache>
            </c:strRef>
          </c:cat>
          <c:val>
            <c:numRef>
              <c:f>'實驗四 橋式'!$D$5:$D$13</c:f>
              <c:numCache>
                <c:formatCode>0.000</c:formatCode>
                <c:ptCount val="9"/>
                <c:pt idx="0">
                  <c:v>2.5</c:v>
                </c:pt>
                <c:pt idx="1">
                  <c:v>1.768</c:v>
                </c:pt>
                <c:pt idx="2">
                  <c:v>1.464</c:v>
                </c:pt>
                <c:pt idx="3">
                  <c:v>0.914</c:v>
                </c:pt>
                <c:pt idx="4">
                  <c:v>0.728</c:v>
                </c:pt>
                <c:pt idx="5">
                  <c:v>1.445</c:v>
                </c:pt>
                <c:pt idx="6">
                  <c:v>0.61</c:v>
                </c:pt>
                <c:pt idx="7">
                  <c:v>1.464</c:v>
                </c:pt>
              </c:numCache>
            </c:numRef>
          </c:val>
        </c:ser>
        <c:gapWidth val="150"/>
        <c:overlap val="0"/>
        <c:axId val="92088760"/>
        <c:axId val="85772459"/>
      </c:barChart>
      <c:catAx>
        <c:axId val="92088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772459"/>
        <c:crosses val="autoZero"/>
        <c:auto val="1"/>
        <c:lblAlgn val="ctr"/>
        <c:lblOffset val="100"/>
        <c:noMultiLvlLbl val="0"/>
      </c:catAx>
      <c:valAx>
        <c:axId val="85772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電壓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088760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20</xdr:col>
      <xdr:colOff>4680</xdr:colOff>
      <xdr:row>21</xdr:row>
      <xdr:rowOff>1080</xdr:rowOff>
    </xdr:to>
    <xdr:graphicFrame>
      <xdr:nvGraphicFramePr>
        <xdr:cNvPr id="1" name="Chart 1"/>
        <xdr:cNvGraphicFramePr/>
      </xdr:nvGraphicFramePr>
      <xdr:xfrm>
        <a:off x="9563040" y="9500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24</xdr:row>
      <xdr:rowOff>0</xdr:rowOff>
    </xdr:from>
    <xdr:to>
      <xdr:col>20</xdr:col>
      <xdr:colOff>4680</xdr:colOff>
      <xdr:row>41</xdr:row>
      <xdr:rowOff>1080</xdr:rowOff>
    </xdr:to>
    <xdr:graphicFrame>
      <xdr:nvGraphicFramePr>
        <xdr:cNvPr id="2" name="Chart 2"/>
        <xdr:cNvGraphicFramePr/>
      </xdr:nvGraphicFramePr>
      <xdr:xfrm>
        <a:off x="9563040" y="47599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0</xdr:rowOff>
    </xdr:from>
    <xdr:to>
      <xdr:col>19</xdr:col>
      <xdr:colOff>4680</xdr:colOff>
      <xdr:row>21</xdr:row>
      <xdr:rowOff>1080</xdr:rowOff>
    </xdr:to>
    <xdr:graphicFrame>
      <xdr:nvGraphicFramePr>
        <xdr:cNvPr id="3" name="Chart 1"/>
        <xdr:cNvGraphicFramePr/>
      </xdr:nvGraphicFramePr>
      <xdr:xfrm>
        <a:off x="8646840" y="9500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0</xdr:rowOff>
    </xdr:from>
    <xdr:to>
      <xdr:col>19</xdr:col>
      <xdr:colOff>4680</xdr:colOff>
      <xdr:row>41</xdr:row>
      <xdr:rowOff>1080</xdr:rowOff>
    </xdr:to>
    <xdr:graphicFrame>
      <xdr:nvGraphicFramePr>
        <xdr:cNvPr id="4" name="Chart 2"/>
        <xdr:cNvGraphicFramePr/>
      </xdr:nvGraphicFramePr>
      <xdr:xfrm>
        <a:off x="8646840" y="47599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6</xdr:col>
      <xdr:colOff>448200</xdr:colOff>
      <xdr:row>46</xdr:row>
      <xdr:rowOff>170640</xdr:rowOff>
    </xdr:to>
    <xdr:graphicFrame>
      <xdr:nvGraphicFramePr>
        <xdr:cNvPr id="5" name="Chart 1"/>
        <xdr:cNvGraphicFramePr/>
      </xdr:nvGraphicFramePr>
      <xdr:xfrm>
        <a:off x="0" y="552204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6</xdr:col>
      <xdr:colOff>448200</xdr:colOff>
      <xdr:row>46</xdr:row>
      <xdr:rowOff>170640</xdr:rowOff>
    </xdr:to>
    <xdr:graphicFrame>
      <xdr:nvGraphicFramePr>
        <xdr:cNvPr id="6" name="Chart 1"/>
        <xdr:cNvGraphicFramePr/>
      </xdr:nvGraphicFramePr>
      <xdr:xfrm>
        <a:off x="0" y="552204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3" min="1" style="0" width="17.41"/>
    <col collapsed="false" customWidth="true" hidden="false" outlineLevel="0" max="4" min="4" style="0" width="15.23"/>
    <col collapsed="false" customWidth="true" hidden="false" outlineLevel="0" max="5" min="5" style="0" width="17.41"/>
    <col collapsed="false" customWidth="true" hidden="false" outlineLevel="0" max="6" min="6" style="0" width="15.23"/>
  </cols>
  <sheetData>
    <row r="1" customFormat="false" ht="17.9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1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4"/>
      <c r="B11" s="4" t="s">
        <v>15</v>
      </c>
    </row>
    <row r="12" customFormat="false" ht="15" hidden="false" customHeight="false" outlineLevel="0" collapsed="false">
      <c r="A12" s="4"/>
      <c r="B12" s="4"/>
    </row>
    <row r="13" customFormat="false" ht="15" hidden="false" customHeight="false" outlineLevel="0" collapsed="false">
      <c r="A13" s="3" t="s">
        <v>16</v>
      </c>
      <c r="B13" s="4"/>
    </row>
    <row r="14" customFormat="false" ht="30" hidden="false" customHeight="true" outlineLevel="0" collapsed="false">
      <c r="A14" s="6" t="s">
        <v>17</v>
      </c>
      <c r="B14" s="7" t="s">
        <v>18</v>
      </c>
      <c r="C14" s="7" t="s">
        <v>19</v>
      </c>
      <c r="D14" s="6" t="s">
        <v>20</v>
      </c>
      <c r="E14" s="6" t="s">
        <v>21</v>
      </c>
      <c r="F14" s="7" t="s">
        <v>22</v>
      </c>
    </row>
    <row r="15" customFormat="false" ht="15" hidden="false" customHeight="false" outlineLevel="0" collapsed="false">
      <c r="A15" s="8" t="n">
        <v>0.6</v>
      </c>
      <c r="B15" s="9" t="n">
        <v>0.552</v>
      </c>
      <c r="C15" s="9" t="n">
        <v>0.05</v>
      </c>
      <c r="D15" s="10" t="n">
        <v>0.048</v>
      </c>
      <c r="E15" s="10" t="n">
        <v>0.048</v>
      </c>
      <c r="F15" s="11" t="n">
        <v>-0.04</v>
      </c>
    </row>
    <row r="16" customFormat="false" ht="15" hidden="false" customHeight="false" outlineLevel="0" collapsed="false">
      <c r="A16" s="12" t="s">
        <v>23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2" t="s">
        <v>25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0" width="10.88"/>
    <col collapsed="false" customWidth="true" hidden="false" outlineLevel="0" max="3" min="2" style="0" width="15.23"/>
    <col collapsed="false" customWidth="true" hidden="false" outlineLevel="0" max="4" min="4" style="0" width="17.41"/>
    <col collapsed="false" customWidth="true" hidden="false" outlineLevel="0" max="5" min="5" style="0" width="16.32"/>
    <col collapsed="false" customWidth="true" hidden="false" outlineLevel="0" max="6" min="6" style="0" width="15.23"/>
    <col collapsed="false" customWidth="true" hidden="false" outlineLevel="0" max="8" min="7" style="0" width="16.32"/>
    <col collapsed="false" customWidth="true" hidden="false" outlineLevel="0" max="9" min="9" style="0" width="15.23"/>
  </cols>
  <sheetData>
    <row r="1" customFormat="false" ht="17.9" hidden="false" customHeight="false" outlineLevel="0" collapsed="false">
      <c r="A1" s="13" t="s">
        <v>26</v>
      </c>
      <c r="B1" s="13"/>
      <c r="C1" s="13"/>
      <c r="D1" s="13"/>
      <c r="E1" s="13"/>
      <c r="F1" s="13"/>
      <c r="G1" s="13"/>
      <c r="H1" s="13"/>
      <c r="I1" s="13"/>
    </row>
    <row r="2" customFormat="false" ht="11.9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28</v>
      </c>
      <c r="B4" s="14" t="n">
        <v>1000</v>
      </c>
      <c r="C4" s="12" t="s">
        <v>29</v>
      </c>
    </row>
    <row r="6" customFormat="false" ht="30" hidden="false" customHeight="true" outlineLevel="0" collapsed="false">
      <c r="A6" s="6" t="s">
        <v>17</v>
      </c>
      <c r="B6" s="7" t="s">
        <v>18</v>
      </c>
      <c r="C6" s="7" t="s">
        <v>30</v>
      </c>
      <c r="D6" s="6" t="s">
        <v>31</v>
      </c>
      <c r="E6" s="6" t="s">
        <v>32</v>
      </c>
      <c r="F6" s="7" t="s">
        <v>33</v>
      </c>
      <c r="G6" s="6" t="s">
        <v>34</v>
      </c>
      <c r="H6" s="6" t="s">
        <v>35</v>
      </c>
      <c r="I6" s="6" t="s">
        <v>36</v>
      </c>
    </row>
    <row r="7" customFormat="false" ht="15" hidden="false" customHeight="false" outlineLevel="0" collapsed="false">
      <c r="A7" s="8" t="n">
        <v>0.1</v>
      </c>
      <c r="B7" s="9"/>
      <c r="C7" s="9"/>
      <c r="D7" s="10" t="str">
        <f aca="false">IF(B7="","",A7-B7)</f>
        <v/>
      </c>
      <c r="E7" s="10" t="str">
        <f aca="false">IF(B7="","",(A7-B7)/$B$4*1000)</f>
        <v/>
      </c>
      <c r="F7" s="11" t="str">
        <f aca="false">IF(OR(C7="",E7="",E7=0),"",(C7-E7)/E7)</f>
        <v/>
      </c>
      <c r="G7" s="15" t="n">
        <v>0.1</v>
      </c>
      <c r="H7" s="15" t="n">
        <v>0</v>
      </c>
      <c r="I7" s="11" t="str">
        <f aca="false">IF(OR(B7="",G7=0),"",(B7-G7)/G7)</f>
        <v/>
      </c>
    </row>
    <row r="8" customFormat="false" ht="15" hidden="false" customHeight="false" outlineLevel="0" collapsed="false">
      <c r="A8" s="8" t="n">
        <v>0.2</v>
      </c>
      <c r="B8" s="9"/>
      <c r="C8" s="9"/>
      <c r="D8" s="10" t="str">
        <f aca="false">IF(B8="","",A8-B8)</f>
        <v/>
      </c>
      <c r="E8" s="10" t="str">
        <f aca="false">IF(B8="","",(A8-B8)/$B$4*1000)</f>
        <v/>
      </c>
      <c r="F8" s="11" t="str">
        <f aca="false">IF(OR(C8="",E8="",E8=0),"",(C8-E8)/E8)</f>
        <v/>
      </c>
      <c r="G8" s="15" t="n">
        <v>0.2</v>
      </c>
      <c r="H8" s="15" t="n">
        <v>2E-005</v>
      </c>
      <c r="I8" s="11" t="str">
        <f aca="false">IF(OR(B8="",G8=0),"",(B8-G8)/G8)</f>
        <v/>
      </c>
    </row>
    <row r="9" customFormat="false" ht="15" hidden="false" customHeight="false" outlineLevel="0" collapsed="false">
      <c r="A9" s="8" t="n">
        <v>0.3</v>
      </c>
      <c r="B9" s="9"/>
      <c r="C9" s="9"/>
      <c r="D9" s="10" t="str">
        <f aca="false">IF(B9="","",A9-B9)</f>
        <v/>
      </c>
      <c r="E9" s="10" t="str">
        <f aca="false">IF(B9="","",(A9-B9)/$B$4*1000)</f>
        <v/>
      </c>
      <c r="F9" s="11" t="str">
        <f aca="false">IF(OR(C9="",E9="",E9=0),"",(C9-E9)/E9)</f>
        <v/>
      </c>
      <c r="G9" s="15" t="n">
        <v>0.2996</v>
      </c>
      <c r="H9" s="15" t="n">
        <v>0.00035</v>
      </c>
      <c r="I9" s="11" t="str">
        <f aca="false">IF(OR(B9="",G9=0),"",(B9-G9)/G9)</f>
        <v/>
      </c>
    </row>
    <row r="10" customFormat="false" ht="15" hidden="false" customHeight="false" outlineLevel="0" collapsed="false">
      <c r="A10" s="8" t="n">
        <v>0.4</v>
      </c>
      <c r="B10" s="9"/>
      <c r="C10" s="9"/>
      <c r="D10" s="10" t="str">
        <f aca="false">IF(B10="","",A10-B10)</f>
        <v/>
      </c>
      <c r="E10" s="10" t="str">
        <f aca="false">IF(B10="","",(A10-B10)/$B$4*1000)</f>
        <v/>
      </c>
      <c r="F10" s="11" t="str">
        <f aca="false">IF(OR(C10="",E10="",E10=0),"",(C10-E10)/E10)</f>
        <v/>
      </c>
      <c r="G10" s="15" t="n">
        <v>0.3951</v>
      </c>
      <c r="H10" s="15" t="n">
        <v>0.00493</v>
      </c>
      <c r="I10" s="11" t="str">
        <f aca="false">IF(OR(B10="",G10=0),"",(B10-G10)/G10)</f>
        <v/>
      </c>
    </row>
    <row r="11" customFormat="false" ht="15" hidden="false" customHeight="false" outlineLevel="0" collapsed="false">
      <c r="A11" s="8" t="n">
        <v>0.5</v>
      </c>
      <c r="B11" s="9"/>
      <c r="C11" s="9"/>
      <c r="D11" s="10" t="str">
        <f aca="false">IF(B11="","",A11-B11)</f>
        <v/>
      </c>
      <c r="E11" s="10" t="str">
        <f aca="false">IF(B11="","",(A11-B11)/$B$4*1000)</f>
        <v/>
      </c>
      <c r="F11" s="11" t="str">
        <f aca="false">IF(OR(C11="",E11="",E11=0),"",(C11-E11)/E11)</f>
        <v/>
      </c>
      <c r="G11" s="15" t="n">
        <v>0.4655</v>
      </c>
      <c r="H11" s="15" t="n">
        <v>0.03447</v>
      </c>
      <c r="I11" s="11" t="str">
        <f aca="false">IF(OR(B11="",G11=0),"",(B11-G11)/G11)</f>
        <v/>
      </c>
    </row>
    <row r="12" customFormat="false" ht="15" hidden="false" customHeight="false" outlineLevel="0" collapsed="false">
      <c r="A12" s="8" t="n">
        <v>0.6</v>
      </c>
      <c r="B12" s="9"/>
      <c r="C12" s="9"/>
      <c r="D12" s="10" t="str">
        <f aca="false">IF(B12="","",A12-B12)</f>
        <v/>
      </c>
      <c r="E12" s="10" t="str">
        <f aca="false">IF(B12="","",(A12-B12)/$B$4*1000)</f>
        <v/>
      </c>
      <c r="F12" s="11" t="str">
        <f aca="false">IF(OR(C12="",E12="",E12=0),"",(C12-E12)/E12)</f>
        <v/>
      </c>
      <c r="G12" s="15" t="n">
        <v>0.503</v>
      </c>
      <c r="H12" s="15" t="n">
        <v>0.09701</v>
      </c>
      <c r="I12" s="11" t="str">
        <f aca="false">IF(OR(B12="",G12=0),"",(B12-G12)/G12)</f>
        <v/>
      </c>
    </row>
    <row r="13" customFormat="false" ht="15" hidden="false" customHeight="false" outlineLevel="0" collapsed="false">
      <c r="A13" s="8" t="n">
        <v>0.7</v>
      </c>
      <c r="B13" s="9"/>
      <c r="C13" s="9"/>
      <c r="D13" s="10" t="str">
        <f aca="false">IF(B13="","",A13-B13)</f>
        <v/>
      </c>
      <c r="E13" s="10" t="str">
        <f aca="false">IF(B13="","",(A13-B13)/$B$4*1000)</f>
        <v/>
      </c>
      <c r="F13" s="11" t="str">
        <f aca="false">IF(OR(C13="",E13="",E13=0),"",(C13-E13)/E13)</f>
        <v/>
      </c>
      <c r="G13" s="15" t="n">
        <v>0.5245</v>
      </c>
      <c r="H13" s="15" t="n">
        <v>0.17553</v>
      </c>
      <c r="I13" s="11" t="str">
        <f aca="false">IF(OR(B13="",G13=0),"",(B13-G13)/G13)</f>
        <v/>
      </c>
    </row>
    <row r="14" customFormat="false" ht="15" hidden="false" customHeight="false" outlineLevel="0" collapsed="false">
      <c r="A14" s="8" t="n">
        <v>0.8</v>
      </c>
      <c r="B14" s="9"/>
      <c r="C14" s="9"/>
      <c r="D14" s="10" t="str">
        <f aca="false">IF(B14="","",A14-B14)</f>
        <v/>
      </c>
      <c r="E14" s="10" t="str">
        <f aca="false">IF(B14="","",(A14-B14)/$B$4*1000)</f>
        <v/>
      </c>
      <c r="F14" s="11" t="str">
        <f aca="false">IF(OR(C14="",E14="",E14=0),"",(C14-E14)/E14)</f>
        <v/>
      </c>
      <c r="G14" s="15" t="n">
        <v>0.5389</v>
      </c>
      <c r="H14" s="15" t="n">
        <v>0.26114</v>
      </c>
      <c r="I14" s="11" t="str">
        <f aca="false">IF(OR(B14="",G14=0),"",(B14-G14)/G14)</f>
        <v/>
      </c>
    </row>
    <row r="15" customFormat="false" ht="15" hidden="false" customHeight="false" outlineLevel="0" collapsed="false">
      <c r="A15" s="8" t="n">
        <v>0.9</v>
      </c>
      <c r="B15" s="9"/>
      <c r="C15" s="9"/>
      <c r="D15" s="10" t="str">
        <f aca="false">IF(B15="","",A15-B15)</f>
        <v/>
      </c>
      <c r="E15" s="10" t="str">
        <f aca="false">IF(B15="","",(A15-B15)/$B$4*1000)</f>
        <v/>
      </c>
      <c r="F15" s="11" t="str">
        <f aca="false">IF(OR(C15="",E15="",E15=0),"",(C15-E15)/E15)</f>
        <v/>
      </c>
      <c r="G15" s="15" t="n">
        <v>0.5495</v>
      </c>
      <c r="H15" s="15" t="n">
        <v>0.35048</v>
      </c>
      <c r="I15" s="11" t="str">
        <f aca="false">IF(OR(B15="",G15=0),"",(B15-G15)/G15)</f>
        <v/>
      </c>
    </row>
    <row r="16" customFormat="false" ht="15" hidden="false" customHeight="false" outlineLevel="0" collapsed="false">
      <c r="A16" s="8" t="n">
        <v>1</v>
      </c>
      <c r="B16" s="9"/>
      <c r="C16" s="9"/>
      <c r="D16" s="10" t="str">
        <f aca="false">IF(B16="","",A16-B16)</f>
        <v/>
      </c>
      <c r="E16" s="10" t="str">
        <f aca="false">IF(B16="","",(A16-B16)/$B$4*1000)</f>
        <v/>
      </c>
      <c r="F16" s="11" t="str">
        <f aca="false">IF(OR(C16="",E16="",E16=0),"",(C16-E16)/E16)</f>
        <v/>
      </c>
      <c r="G16" s="15" t="n">
        <v>0.5579</v>
      </c>
      <c r="H16" s="15" t="n">
        <v>0.44207</v>
      </c>
      <c r="I16" s="11" t="str">
        <f aca="false">IF(OR(B16="",G16=0),"",(B16-G16)/G16)</f>
        <v/>
      </c>
    </row>
    <row r="17" customFormat="false" ht="15" hidden="false" customHeight="false" outlineLevel="0" collapsed="false">
      <c r="A17" s="8" t="n">
        <v>1.1</v>
      </c>
      <c r="B17" s="9"/>
      <c r="C17" s="9"/>
      <c r="D17" s="10" t="str">
        <f aca="false">IF(B17="","",A17-B17)</f>
        <v/>
      </c>
      <c r="E17" s="10" t="str">
        <f aca="false">IF(B17="","",(A17-B17)/$B$4*1000)</f>
        <v/>
      </c>
      <c r="F17" s="11" t="str">
        <f aca="false">IF(OR(C17="",E17="",E17=0),"",(C17-E17)/E17)</f>
        <v/>
      </c>
      <c r="G17" s="15" t="n">
        <v>0.5648</v>
      </c>
      <c r="H17" s="15" t="n">
        <v>0.53515</v>
      </c>
      <c r="I17" s="11" t="str">
        <f aca="false">IF(OR(B17="",G17=0),"",(B17-G17)/G17)</f>
        <v/>
      </c>
    </row>
    <row r="18" customFormat="false" ht="15" hidden="false" customHeight="false" outlineLevel="0" collapsed="false">
      <c r="A18" s="8" t="n">
        <v>1.2</v>
      </c>
      <c r="B18" s="9"/>
      <c r="C18" s="9"/>
      <c r="D18" s="10" t="str">
        <f aca="false">IF(B18="","",A18-B18)</f>
        <v/>
      </c>
      <c r="E18" s="10" t="str">
        <f aca="false">IF(B18="","",(A18-B18)/$B$4*1000)</f>
        <v/>
      </c>
      <c r="F18" s="11" t="str">
        <f aca="false">IF(OR(C18="",E18="",E18=0),"",(C18-E18)/E18)</f>
        <v/>
      </c>
      <c r="G18" s="15" t="n">
        <v>0.5707</v>
      </c>
      <c r="H18" s="15" t="n">
        <v>0.62928</v>
      </c>
      <c r="I18" s="11" t="str">
        <f aca="false">IF(OR(B18="",G18=0),"",(B18-G18)/G18)</f>
        <v/>
      </c>
    </row>
    <row r="19" customFormat="false" ht="15" hidden="false" customHeight="false" outlineLevel="0" collapsed="false">
      <c r="A19" s="8" t="n">
        <v>1.3</v>
      </c>
      <c r="B19" s="9"/>
      <c r="C19" s="9"/>
      <c r="D19" s="10" t="str">
        <f aca="false">IF(B19="","",A19-B19)</f>
        <v/>
      </c>
      <c r="E19" s="10" t="str">
        <f aca="false">IF(B19="","",(A19-B19)/$B$4*1000)</f>
        <v/>
      </c>
      <c r="F19" s="11" t="str">
        <f aca="false">IF(OR(C19="",E19="",E19=0),"",(C19-E19)/E19)</f>
        <v/>
      </c>
      <c r="G19" s="15" t="n">
        <v>0.5758</v>
      </c>
      <c r="H19" s="15" t="n">
        <v>0.72419</v>
      </c>
      <c r="I19" s="11" t="str">
        <f aca="false">IF(OR(B19="",G19=0),"",(B19-G19)/G19)</f>
        <v/>
      </c>
    </row>
    <row r="20" customFormat="false" ht="15" hidden="false" customHeight="false" outlineLevel="0" collapsed="false">
      <c r="A20" s="8" t="n">
        <v>1.4</v>
      </c>
      <c r="B20" s="9"/>
      <c r="C20" s="9"/>
      <c r="D20" s="10" t="str">
        <f aca="false">IF(B20="","",A20-B20)</f>
        <v/>
      </c>
      <c r="E20" s="10" t="str">
        <f aca="false">IF(B20="","",(A20-B20)/$B$4*1000)</f>
        <v/>
      </c>
      <c r="F20" s="11" t="str">
        <f aca="false">IF(OR(C20="",E20="",E20=0),"",(C20-E20)/E20)</f>
        <v/>
      </c>
      <c r="G20" s="15" t="n">
        <v>0.5803</v>
      </c>
      <c r="H20" s="15" t="n">
        <v>0.8197</v>
      </c>
      <c r="I20" s="11" t="str">
        <f aca="false">IF(OR(B20="",G20=0),"",(B20-G20)/G20)</f>
        <v/>
      </c>
    </row>
    <row r="21" customFormat="false" ht="15" hidden="false" customHeight="false" outlineLevel="0" collapsed="false">
      <c r="A21" s="8" t="n">
        <v>1.5</v>
      </c>
      <c r="B21" s="9"/>
      <c r="C21" s="9"/>
      <c r="D21" s="10" t="str">
        <f aca="false">IF(B21="","",A21-B21)</f>
        <v/>
      </c>
      <c r="E21" s="10" t="str">
        <f aca="false">IF(B21="","",(A21-B21)/$B$4*1000)</f>
        <v/>
      </c>
      <c r="F21" s="11" t="str">
        <f aca="false">IF(OR(C21="",E21="",E21=0),"",(C21-E21)/E21)</f>
        <v/>
      </c>
      <c r="G21" s="15" t="n">
        <v>0.5843</v>
      </c>
      <c r="H21" s="15" t="n">
        <v>0.91569</v>
      </c>
      <c r="I21" s="11" t="str">
        <f aca="false">IF(OR(B21="",G21=0),"",(B21-G21)/G21)</f>
        <v/>
      </c>
    </row>
    <row r="22" customFormat="false" ht="15" hidden="false" customHeight="false" outlineLevel="0" collapsed="false">
      <c r="A22" s="8" t="n">
        <v>1.6</v>
      </c>
      <c r="B22" s="9"/>
      <c r="C22" s="9"/>
      <c r="D22" s="10" t="str">
        <f aca="false">IF(B22="","",A22-B22)</f>
        <v/>
      </c>
      <c r="E22" s="10" t="str">
        <f aca="false">IF(B22="","",(A22-B22)/$B$4*1000)</f>
        <v/>
      </c>
      <c r="F22" s="11" t="str">
        <f aca="false">IF(OR(C22="",E22="",E22=0),"",(C22-E22)/E22)</f>
        <v/>
      </c>
      <c r="G22" s="15" t="n">
        <v>0.5879</v>
      </c>
      <c r="H22" s="15" t="n">
        <v>1.01206</v>
      </c>
      <c r="I22" s="11" t="str">
        <f aca="false">IF(OR(B22="",G22=0),"",(B22-G22)/G22)</f>
        <v/>
      </c>
    </row>
    <row r="23" customFormat="false" ht="15" hidden="false" customHeight="false" outlineLevel="0" collapsed="false">
      <c r="A23" s="8" t="n">
        <v>1.7</v>
      </c>
      <c r="B23" s="9"/>
      <c r="C23" s="9"/>
      <c r="D23" s="10" t="str">
        <f aca="false">IF(B23="","",A23-B23)</f>
        <v/>
      </c>
      <c r="E23" s="10" t="str">
        <f aca="false">IF(B23="","",(A23-B23)/$B$4*1000)</f>
        <v/>
      </c>
      <c r="F23" s="11" t="str">
        <f aca="false">IF(OR(C23="",E23="",E23=0),"",(C23-E23)/E23)</f>
        <v/>
      </c>
      <c r="G23" s="15" t="n">
        <v>0.5912</v>
      </c>
      <c r="H23" s="15" t="n">
        <v>1.10875</v>
      </c>
      <c r="I23" s="11" t="str">
        <f aca="false">IF(OR(B23="",G23=0),"",(B23-G23)/G23)</f>
        <v/>
      </c>
    </row>
    <row r="24" customFormat="false" ht="15" hidden="false" customHeight="false" outlineLevel="0" collapsed="false">
      <c r="A24" s="8" t="n">
        <v>1.8</v>
      </c>
      <c r="B24" s="9"/>
      <c r="C24" s="9"/>
      <c r="D24" s="10" t="str">
        <f aca="false">IF(B24="","",A24-B24)</f>
        <v/>
      </c>
      <c r="E24" s="10" t="str">
        <f aca="false">IF(B24="","",(A24-B24)/$B$4*1000)</f>
        <v/>
      </c>
      <c r="F24" s="11" t="str">
        <f aca="false">IF(OR(C24="",E24="",E24=0),"",(C24-E24)/E24)</f>
        <v/>
      </c>
      <c r="G24" s="15" t="n">
        <v>0.5943</v>
      </c>
      <c r="H24" s="15" t="n">
        <v>1.20571</v>
      </c>
      <c r="I24" s="11" t="str">
        <f aca="false">IF(OR(B24="",G24=0),"",(B24-G24)/G24)</f>
        <v/>
      </c>
    </row>
    <row r="25" customFormat="false" ht="15" hidden="false" customHeight="false" outlineLevel="0" collapsed="false">
      <c r="A25" s="8" t="n">
        <v>1.9</v>
      </c>
      <c r="B25" s="9"/>
      <c r="C25" s="9"/>
      <c r="D25" s="10" t="str">
        <f aca="false">IF(B25="","",A25-B25)</f>
        <v/>
      </c>
      <c r="E25" s="10" t="str">
        <f aca="false">IF(B25="","",(A25-B25)/$B$4*1000)</f>
        <v/>
      </c>
      <c r="F25" s="11" t="str">
        <f aca="false">IF(OR(C25="",E25="",E25=0),"",(C25-E25)/E25)</f>
        <v/>
      </c>
      <c r="G25" s="15" t="n">
        <v>0.5971</v>
      </c>
      <c r="H25" s="15" t="n">
        <v>1.3029</v>
      </c>
      <c r="I25" s="11" t="str">
        <f aca="false">IF(OR(B25="",G25=0),"",(B25-G25)/G25)</f>
        <v/>
      </c>
    </row>
    <row r="26" customFormat="false" ht="15" hidden="false" customHeight="false" outlineLevel="0" collapsed="false">
      <c r="A26" s="8" t="n">
        <v>2</v>
      </c>
      <c r="B26" s="9"/>
      <c r="C26" s="9"/>
      <c r="D26" s="10" t="str">
        <f aca="false">IF(B26="","",A26-B26)</f>
        <v/>
      </c>
      <c r="E26" s="10" t="str">
        <f aca="false">IF(B26="","",(A26-B26)/$B$4*1000)</f>
        <v/>
      </c>
      <c r="F26" s="11" t="str">
        <f aca="false">IF(OR(C26="",E26="",E26=0),"",(C26-E26)/E26)</f>
        <v/>
      </c>
      <c r="G26" s="15" t="n">
        <v>0.5997</v>
      </c>
      <c r="H26" s="15" t="n">
        <v>1.40029</v>
      </c>
      <c r="I26" s="11" t="str">
        <f aca="false">IF(OR(B26="",G26=0),"",(B26-G26)/G26)</f>
        <v/>
      </c>
    </row>
    <row r="28" customFormat="false" ht="15" hidden="false" customHeight="false" outlineLevel="0" collapsed="false">
      <c r="A28" s="16" t="s">
        <v>37</v>
      </c>
    </row>
    <row r="30" customFormat="false" ht="15" hidden="false" customHeight="false" outlineLevel="0" collapsed="false">
      <c r="A30" s="3" t="s">
        <v>38</v>
      </c>
    </row>
    <row r="31" customFormat="false" ht="15" hidden="false" customHeight="false" outlineLevel="0" collapsed="false">
      <c r="A31" s="17" t="s">
        <v>39</v>
      </c>
      <c r="B31" s="17" t="s">
        <v>40</v>
      </c>
      <c r="C31" s="17" t="s">
        <v>41</v>
      </c>
    </row>
    <row r="32" customFormat="false" ht="15" hidden="false" customHeight="false" outlineLevel="0" collapsed="false">
      <c r="A32" s="18" t="s">
        <v>42</v>
      </c>
      <c r="B32" s="19"/>
      <c r="C32" s="20" t="s">
        <v>43</v>
      </c>
    </row>
    <row r="33" customFormat="false" ht="15" hidden="false" customHeight="false" outlineLevel="0" collapsed="false">
      <c r="A33" s="18" t="s">
        <v>44</v>
      </c>
      <c r="B33" s="19"/>
      <c r="C33" s="20" t="s">
        <v>45</v>
      </c>
    </row>
    <row r="34" customFormat="false" ht="15" hidden="false" customHeight="false" outlineLevel="0" collapsed="false">
      <c r="A34" s="18" t="s">
        <v>46</v>
      </c>
      <c r="B34" s="19"/>
      <c r="C34" s="20" t="s">
        <v>47</v>
      </c>
    </row>
    <row r="35" customFormat="false" ht="15" hidden="false" customHeight="false" outlineLevel="0" collapsed="false">
      <c r="A35" s="18" t="s">
        <v>48</v>
      </c>
      <c r="B35" s="19"/>
      <c r="C35" s="21" t="s">
        <v>49</v>
      </c>
    </row>
    <row r="36" customFormat="false" ht="15" hidden="false" customHeight="false" outlineLevel="0" collapsed="false">
      <c r="A36" s="18" t="s">
        <v>50</v>
      </c>
      <c r="B36" s="19"/>
      <c r="C36" s="20" t="s">
        <v>51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0" width="10.88"/>
    <col collapsed="false" customWidth="true" hidden="false" outlineLevel="0" max="4" min="2" style="0" width="15.23"/>
    <col collapsed="false" customWidth="true" hidden="false" outlineLevel="0" max="7" min="5" style="0" width="16.32"/>
    <col collapsed="false" customWidth="true" hidden="false" outlineLevel="0" max="8" min="8" style="0" width="18.5"/>
  </cols>
  <sheetData>
    <row r="1" customFormat="false" ht="17.9" hidden="false" customHeight="false" outlineLevel="0" collapsed="false">
      <c r="A1" s="13" t="s">
        <v>52</v>
      </c>
      <c r="B1" s="13"/>
      <c r="C1" s="13"/>
      <c r="D1" s="13"/>
      <c r="E1" s="13"/>
      <c r="F1" s="13"/>
      <c r="G1" s="13"/>
      <c r="H1" s="13"/>
    </row>
    <row r="2" customFormat="false" ht="11.9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22" t="s">
        <v>54</v>
      </c>
      <c r="B4" s="8" t="n">
        <v>5</v>
      </c>
      <c r="C4" s="16" t="s">
        <v>55</v>
      </c>
    </row>
    <row r="6" customFormat="false" ht="30" hidden="false" customHeight="true" outlineLevel="0" collapsed="false">
      <c r="A6" s="6" t="s">
        <v>17</v>
      </c>
      <c r="B6" s="7" t="s">
        <v>18</v>
      </c>
      <c r="C6" s="7" t="s">
        <v>56</v>
      </c>
      <c r="D6" s="6" t="s">
        <v>57</v>
      </c>
      <c r="E6" s="6" t="s">
        <v>34</v>
      </c>
      <c r="F6" s="6" t="s">
        <v>58</v>
      </c>
      <c r="G6" s="6" t="s">
        <v>59</v>
      </c>
      <c r="H6" s="6" t="s">
        <v>60</v>
      </c>
    </row>
    <row r="7" customFormat="false" ht="15" hidden="false" customHeight="false" outlineLevel="0" collapsed="false">
      <c r="A7" s="14" t="n">
        <v>1</v>
      </c>
      <c r="B7" s="9"/>
      <c r="C7" s="9"/>
      <c r="D7" s="10" t="str">
        <f aca="false">IF(B7="","",A7-B7)</f>
        <v/>
      </c>
      <c r="E7" s="15" t="n">
        <v>1</v>
      </c>
      <c r="F7" s="15" t="n">
        <v>0.091</v>
      </c>
      <c r="G7" s="23" t="n">
        <f aca="false">F7/1000</f>
        <v>9.1E-005</v>
      </c>
      <c r="H7" s="24" t="n">
        <f aca="false">$B$4</f>
        <v>5</v>
      </c>
    </row>
    <row r="8" customFormat="false" ht="15" hidden="false" customHeight="false" outlineLevel="0" collapsed="false">
      <c r="A8" s="14" t="n">
        <v>2</v>
      </c>
      <c r="B8" s="9"/>
      <c r="C8" s="9"/>
      <c r="D8" s="10" t="str">
        <f aca="false">IF(B8="","",A8-B8)</f>
        <v/>
      </c>
      <c r="E8" s="15" t="n">
        <v>2</v>
      </c>
      <c r="F8" s="15" t="n">
        <v>0.092</v>
      </c>
      <c r="G8" s="23" t="n">
        <f aca="false">F8/1000</f>
        <v>9.2E-005</v>
      </c>
      <c r="H8" s="24" t="n">
        <f aca="false">$B$4</f>
        <v>5</v>
      </c>
    </row>
    <row r="9" customFormat="false" ht="15" hidden="false" customHeight="false" outlineLevel="0" collapsed="false">
      <c r="A9" s="14" t="n">
        <v>3</v>
      </c>
      <c r="B9" s="9"/>
      <c r="C9" s="9"/>
      <c r="D9" s="10" t="str">
        <f aca="false">IF(B9="","",A9-B9)</f>
        <v/>
      </c>
      <c r="E9" s="15" t="n">
        <v>3</v>
      </c>
      <c r="F9" s="15" t="n">
        <v>0.093</v>
      </c>
      <c r="G9" s="23" t="n">
        <f aca="false">F9/1000</f>
        <v>9.3E-005</v>
      </c>
      <c r="H9" s="24" t="n">
        <f aca="false">$B$4</f>
        <v>5</v>
      </c>
    </row>
    <row r="10" customFormat="false" ht="15" hidden="false" customHeight="false" outlineLevel="0" collapsed="false">
      <c r="A10" s="14" t="n">
        <v>4</v>
      </c>
      <c r="B10" s="9"/>
      <c r="C10" s="9"/>
      <c r="D10" s="10" t="str">
        <f aca="false">IF(B10="","",A10-B10)</f>
        <v/>
      </c>
      <c r="E10" s="15" t="n">
        <v>4</v>
      </c>
      <c r="F10" s="15" t="n">
        <v>0.094</v>
      </c>
      <c r="G10" s="23" t="n">
        <f aca="false">F10/1000</f>
        <v>9.4E-005</v>
      </c>
      <c r="H10" s="24" t="n">
        <f aca="false">$B$4</f>
        <v>5</v>
      </c>
    </row>
    <row r="11" customFormat="false" ht="15" hidden="false" customHeight="false" outlineLevel="0" collapsed="false">
      <c r="A11" s="14" t="n">
        <v>5</v>
      </c>
      <c r="B11" s="9"/>
      <c r="C11" s="9"/>
      <c r="D11" s="10" t="str">
        <f aca="false">IF(B11="","",A11-B11)</f>
        <v/>
      </c>
      <c r="E11" s="15" t="n">
        <v>5</v>
      </c>
      <c r="F11" s="15" t="n">
        <v>0.095</v>
      </c>
      <c r="G11" s="23" t="n">
        <f aca="false">F11/1000</f>
        <v>9.5E-005</v>
      </c>
      <c r="H11" s="24" t="n">
        <f aca="false">$B$4</f>
        <v>5</v>
      </c>
    </row>
    <row r="12" customFormat="false" ht="15" hidden="false" customHeight="false" outlineLevel="0" collapsed="false">
      <c r="A12" s="14" t="n">
        <v>6</v>
      </c>
      <c r="B12" s="9"/>
      <c r="C12" s="9"/>
      <c r="D12" s="10" t="str">
        <f aca="false">IF(B12="","",A12-B12)</f>
        <v/>
      </c>
      <c r="E12" s="15" t="n">
        <v>6</v>
      </c>
      <c r="F12" s="15" t="n">
        <v>0.096</v>
      </c>
      <c r="G12" s="23" t="n">
        <f aca="false">F12/1000</f>
        <v>9.6E-005</v>
      </c>
      <c r="H12" s="24" t="n">
        <f aca="false">$B$4</f>
        <v>5</v>
      </c>
    </row>
    <row r="13" customFormat="false" ht="15" hidden="false" customHeight="false" outlineLevel="0" collapsed="false">
      <c r="A13" s="14" t="n">
        <v>7</v>
      </c>
      <c r="B13" s="9"/>
      <c r="C13" s="9"/>
      <c r="D13" s="10" t="str">
        <f aca="false">IF(B13="","",A13-B13)</f>
        <v/>
      </c>
      <c r="E13" s="15" t="n">
        <v>7</v>
      </c>
      <c r="F13" s="15" t="n">
        <v>0.097</v>
      </c>
      <c r="G13" s="23" t="n">
        <f aca="false">F13/1000</f>
        <v>9.7E-005</v>
      </c>
      <c r="H13" s="24" t="n">
        <f aca="false">$B$4</f>
        <v>5</v>
      </c>
    </row>
    <row r="14" customFormat="false" ht="15" hidden="false" customHeight="false" outlineLevel="0" collapsed="false">
      <c r="A14" s="14" t="n">
        <v>8</v>
      </c>
      <c r="B14" s="9"/>
      <c r="C14" s="9"/>
      <c r="D14" s="10" t="str">
        <f aca="false">IF(B14="","",A14-B14)</f>
        <v/>
      </c>
      <c r="E14" s="15" t="n">
        <v>8</v>
      </c>
      <c r="F14" s="15" t="n">
        <v>0.098</v>
      </c>
      <c r="G14" s="23" t="n">
        <f aca="false">F14/1000</f>
        <v>9.8E-005</v>
      </c>
      <c r="H14" s="24" t="n">
        <f aca="false">$B$4</f>
        <v>5</v>
      </c>
    </row>
    <row r="15" customFormat="false" ht="15" hidden="false" customHeight="false" outlineLevel="0" collapsed="false">
      <c r="A15" s="14" t="n">
        <v>9</v>
      </c>
      <c r="B15" s="9"/>
      <c r="C15" s="9"/>
      <c r="D15" s="10" t="str">
        <f aca="false">IF(B15="","",A15-B15)</f>
        <v/>
      </c>
      <c r="E15" s="15" t="n">
        <v>9</v>
      </c>
      <c r="F15" s="15" t="n">
        <v>0.099</v>
      </c>
      <c r="G15" s="23" t="n">
        <f aca="false">F15/1000</f>
        <v>9.9E-005</v>
      </c>
      <c r="H15" s="24" t="n">
        <f aca="false">$B$4</f>
        <v>5</v>
      </c>
    </row>
    <row r="16" customFormat="false" ht="15" hidden="false" customHeight="false" outlineLevel="0" collapsed="false">
      <c r="A16" s="14" t="n">
        <v>10</v>
      </c>
      <c r="B16" s="9"/>
      <c r="C16" s="9"/>
      <c r="D16" s="10" t="str">
        <f aca="false">IF(B16="","",A16-B16)</f>
        <v/>
      </c>
      <c r="E16" s="15" t="n">
        <v>10</v>
      </c>
      <c r="F16" s="15" t="n">
        <v>0.1</v>
      </c>
      <c r="G16" s="23" t="n">
        <f aca="false">F16/1000</f>
        <v>0.0001</v>
      </c>
      <c r="H16" s="24" t="n">
        <f aca="false">$B$4</f>
        <v>5</v>
      </c>
    </row>
    <row r="17" customFormat="false" ht="15" hidden="false" customHeight="false" outlineLevel="0" collapsed="false">
      <c r="A17" s="14" t="n">
        <v>11</v>
      </c>
      <c r="B17" s="9"/>
      <c r="C17" s="9"/>
      <c r="D17" s="10" t="str">
        <f aca="false">IF(B17="","",A17-B17)</f>
        <v/>
      </c>
      <c r="E17" s="15" t="n">
        <v>11</v>
      </c>
      <c r="F17" s="15" t="n">
        <v>0.101</v>
      </c>
      <c r="G17" s="23" t="n">
        <f aca="false">F17/1000</f>
        <v>0.000101</v>
      </c>
      <c r="H17" s="24" t="n">
        <f aca="false">$B$4</f>
        <v>5</v>
      </c>
    </row>
    <row r="18" customFormat="false" ht="15" hidden="false" customHeight="false" outlineLevel="0" collapsed="false">
      <c r="A18" s="14" t="n">
        <v>12</v>
      </c>
      <c r="B18" s="9"/>
      <c r="C18" s="9"/>
      <c r="D18" s="10" t="str">
        <f aca="false">IF(B18="","",A18-B18)</f>
        <v/>
      </c>
      <c r="E18" s="15" t="n">
        <v>12</v>
      </c>
      <c r="F18" s="15" t="n">
        <v>0.102</v>
      </c>
      <c r="G18" s="23" t="n">
        <f aca="false">F18/1000</f>
        <v>0.000102</v>
      </c>
      <c r="H18" s="24" t="n">
        <f aca="false">$B$4</f>
        <v>5</v>
      </c>
    </row>
    <row r="19" customFormat="false" ht="15" hidden="false" customHeight="false" outlineLevel="0" collapsed="false">
      <c r="A19" s="14" t="n">
        <v>13</v>
      </c>
      <c r="B19" s="9"/>
      <c r="C19" s="9"/>
      <c r="D19" s="10" t="str">
        <f aca="false">IF(B19="","",A19-B19)</f>
        <v/>
      </c>
      <c r="E19" s="15" t="n">
        <v>13</v>
      </c>
      <c r="F19" s="15" t="n">
        <v>0.103</v>
      </c>
      <c r="G19" s="23" t="n">
        <f aca="false">F19/1000</f>
        <v>0.000103</v>
      </c>
      <c r="H19" s="24" t="n">
        <f aca="false">$B$4</f>
        <v>5</v>
      </c>
    </row>
    <row r="20" customFormat="false" ht="15" hidden="false" customHeight="false" outlineLevel="0" collapsed="false">
      <c r="A20" s="14" t="n">
        <v>14</v>
      </c>
      <c r="B20" s="9"/>
      <c r="C20" s="9"/>
      <c r="D20" s="10" t="str">
        <f aca="false">IF(B20="","",A20-B20)</f>
        <v/>
      </c>
      <c r="E20" s="15" t="n">
        <v>14</v>
      </c>
      <c r="F20" s="15" t="n">
        <v>0.104</v>
      </c>
      <c r="G20" s="23" t="n">
        <f aca="false">F20/1000</f>
        <v>0.000104</v>
      </c>
      <c r="H20" s="24" t="n">
        <f aca="false">$B$4</f>
        <v>5</v>
      </c>
    </row>
    <row r="21" customFormat="false" ht="15" hidden="false" customHeight="false" outlineLevel="0" collapsed="false">
      <c r="A21" s="14" t="n">
        <v>15</v>
      </c>
      <c r="B21" s="9"/>
      <c r="C21" s="9"/>
      <c r="D21" s="10" t="str">
        <f aca="false">IF(B21="","",A21-B21)</f>
        <v/>
      </c>
      <c r="E21" s="15" t="n">
        <v>15</v>
      </c>
      <c r="F21" s="15" t="n">
        <v>0.105</v>
      </c>
      <c r="G21" s="23" t="n">
        <f aca="false">F21/1000</f>
        <v>0.000105</v>
      </c>
      <c r="H21" s="24" t="n">
        <f aca="false">$B$4</f>
        <v>5</v>
      </c>
    </row>
    <row r="22" customFormat="false" ht="15" hidden="false" customHeight="false" outlineLevel="0" collapsed="false">
      <c r="A22" s="14" t="n">
        <v>16</v>
      </c>
      <c r="B22" s="9"/>
      <c r="C22" s="9"/>
      <c r="D22" s="10" t="str">
        <f aca="false">IF(B22="","",A22-B22)</f>
        <v/>
      </c>
      <c r="E22" s="15" t="n">
        <v>16</v>
      </c>
      <c r="F22" s="15" t="n">
        <v>0.106</v>
      </c>
      <c r="G22" s="23" t="n">
        <f aca="false">F22/1000</f>
        <v>0.000106</v>
      </c>
      <c r="H22" s="24" t="n">
        <f aca="false">$B$4</f>
        <v>5</v>
      </c>
    </row>
    <row r="23" customFormat="false" ht="15" hidden="false" customHeight="false" outlineLevel="0" collapsed="false">
      <c r="A23" s="14" t="n">
        <v>17</v>
      </c>
      <c r="B23" s="9"/>
      <c r="C23" s="9"/>
      <c r="D23" s="10" t="str">
        <f aca="false">IF(B23="","",A23-B23)</f>
        <v/>
      </c>
      <c r="E23" s="15" t="n">
        <v>17</v>
      </c>
      <c r="F23" s="15" t="n">
        <v>0.107</v>
      </c>
      <c r="G23" s="23" t="n">
        <f aca="false">F23/1000</f>
        <v>0.000107</v>
      </c>
      <c r="H23" s="24" t="n">
        <f aca="false">$B$4</f>
        <v>5</v>
      </c>
    </row>
    <row r="24" customFormat="false" ht="15" hidden="false" customHeight="false" outlineLevel="0" collapsed="false">
      <c r="A24" s="14" t="n">
        <v>18</v>
      </c>
      <c r="B24" s="9"/>
      <c r="C24" s="9"/>
      <c r="D24" s="10" t="str">
        <f aca="false">IF(B24="","",A24-B24)</f>
        <v/>
      </c>
      <c r="E24" s="15" t="n">
        <v>18</v>
      </c>
      <c r="F24" s="15" t="n">
        <v>0.108</v>
      </c>
      <c r="G24" s="23" t="n">
        <f aca="false">F24/1000</f>
        <v>0.000108</v>
      </c>
      <c r="H24" s="24" t="n">
        <f aca="false">$B$4</f>
        <v>5</v>
      </c>
    </row>
    <row r="25" customFormat="false" ht="15" hidden="false" customHeight="false" outlineLevel="0" collapsed="false">
      <c r="A25" s="14" t="n">
        <v>19</v>
      </c>
      <c r="B25" s="9"/>
      <c r="C25" s="9"/>
      <c r="D25" s="10" t="str">
        <f aca="false">IF(B25="","",A25-B25)</f>
        <v/>
      </c>
      <c r="E25" s="15" t="n">
        <v>19</v>
      </c>
      <c r="F25" s="15" t="n">
        <v>0.109</v>
      </c>
      <c r="G25" s="23" t="n">
        <f aca="false">F25/1000</f>
        <v>0.000109</v>
      </c>
      <c r="H25" s="24" t="n">
        <f aca="false">$B$4</f>
        <v>5</v>
      </c>
    </row>
    <row r="26" customFormat="false" ht="15" hidden="false" customHeight="false" outlineLevel="0" collapsed="false">
      <c r="A26" s="14" t="n">
        <v>20</v>
      </c>
      <c r="B26" s="9"/>
      <c r="C26" s="9"/>
      <c r="D26" s="10" t="str">
        <f aca="false">IF(B26="","",A26-B26)</f>
        <v/>
      </c>
      <c r="E26" s="15" t="n">
        <v>20</v>
      </c>
      <c r="F26" s="15" t="n">
        <v>0.11</v>
      </c>
      <c r="G26" s="23" t="n">
        <f aca="false">F26/1000</f>
        <v>0.00011</v>
      </c>
      <c r="H26" s="24" t="n">
        <f aca="false">$B$4</f>
        <v>5</v>
      </c>
    </row>
    <row r="28" customFormat="false" ht="15" hidden="false" customHeight="false" outlineLevel="0" collapsed="false">
      <c r="A28" s="16" t="s">
        <v>61</v>
      </c>
    </row>
    <row r="30" customFormat="false" ht="15" hidden="false" customHeight="false" outlineLevel="0" collapsed="false">
      <c r="A30" s="3" t="s">
        <v>38</v>
      </c>
    </row>
    <row r="31" customFormat="false" ht="15" hidden="false" customHeight="false" outlineLevel="0" collapsed="false">
      <c r="A31" s="17" t="s">
        <v>39</v>
      </c>
      <c r="B31" s="17" t="s">
        <v>40</v>
      </c>
      <c r="C31" s="17" t="s">
        <v>41</v>
      </c>
    </row>
    <row r="32" customFormat="false" ht="15" hidden="false" customHeight="false" outlineLevel="0" collapsed="false">
      <c r="A32" s="18" t="s">
        <v>42</v>
      </c>
      <c r="B32" s="19"/>
      <c r="C32" s="21" t="s">
        <v>62</v>
      </c>
    </row>
    <row r="33" customFormat="false" ht="15" hidden="false" customHeight="false" outlineLevel="0" collapsed="false">
      <c r="A33" s="18" t="s">
        <v>63</v>
      </c>
      <c r="B33" s="19"/>
      <c r="C33" s="20" t="s">
        <v>64</v>
      </c>
    </row>
    <row r="34" customFormat="false" ht="15" hidden="false" customHeight="false" outlineLevel="0" collapsed="false">
      <c r="A34" s="18" t="s">
        <v>65</v>
      </c>
      <c r="B34" s="19"/>
      <c r="C34" s="20" t="s">
        <v>66</v>
      </c>
    </row>
    <row r="35" customFormat="false" ht="15" hidden="false" customHeight="false" outlineLevel="0" collapsed="false">
      <c r="A35" s="18" t="s">
        <v>48</v>
      </c>
      <c r="B35" s="19"/>
      <c r="C35" s="21" t="s">
        <v>67</v>
      </c>
    </row>
    <row r="36" customFormat="false" ht="15" hidden="false" customHeight="false" outlineLevel="0" collapsed="false">
      <c r="A36" s="18" t="s">
        <v>50</v>
      </c>
      <c r="B36" s="19"/>
      <c r="C36" s="20" t="s">
        <v>68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2" min="1" style="0" width="28.3"/>
    <col collapsed="false" customWidth="true" hidden="false" outlineLevel="0" max="3" min="3" style="0" width="13.06"/>
    <col collapsed="false" customWidth="true" hidden="false" outlineLevel="0" max="4" min="4" style="0" width="17.41"/>
    <col collapsed="false" customWidth="true" hidden="false" outlineLevel="0" max="5" min="5" style="0" width="15.23"/>
    <col collapsed="false" customWidth="true" hidden="false" outlineLevel="0" max="6" min="6" style="0" width="13.06"/>
    <col collapsed="false" customWidth="true" hidden="false" outlineLevel="0" max="7" min="7" style="0" width="60.94"/>
  </cols>
  <sheetData>
    <row r="1" customFormat="false" ht="17.9" hidden="false" customHeight="false" outlineLevel="0" collapsed="false">
      <c r="A1" s="13" t="s">
        <v>69</v>
      </c>
      <c r="B1" s="13"/>
      <c r="C1" s="13"/>
      <c r="D1" s="13"/>
      <c r="E1" s="13"/>
      <c r="F1" s="13"/>
      <c r="G1" s="13"/>
    </row>
    <row r="2" customFormat="false" ht="11.9" hidden="false" customHeight="false" outlineLevel="0" collapsed="false">
      <c r="A2" s="2" t="s">
        <v>70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7" t="s">
        <v>71</v>
      </c>
      <c r="B4" s="7" t="s">
        <v>72</v>
      </c>
      <c r="C4" s="7" t="s">
        <v>73</v>
      </c>
      <c r="D4" s="7" t="s">
        <v>74</v>
      </c>
      <c r="E4" s="7" t="s">
        <v>75</v>
      </c>
      <c r="F4" s="7" t="s">
        <v>76</v>
      </c>
      <c r="G4" s="7" t="s">
        <v>77</v>
      </c>
    </row>
    <row r="5" customFormat="false" ht="15" hidden="false" customHeight="false" outlineLevel="0" collapsed="false">
      <c r="A5" s="18" t="s">
        <v>78</v>
      </c>
      <c r="B5" s="25" t="s">
        <v>79</v>
      </c>
      <c r="C5" s="9"/>
      <c r="D5" s="15" t="n">
        <v>5</v>
      </c>
      <c r="E5" s="15" t="n">
        <v>5</v>
      </c>
      <c r="F5" s="11" t="str">
        <f aca="false">IF(OR(C5="",D5=""),"",IF(D5=0,"",(C5-D5)/D5))</f>
        <v/>
      </c>
      <c r="G5" s="20" t="s">
        <v>80</v>
      </c>
    </row>
    <row r="6" customFormat="false" ht="15" hidden="false" customHeight="false" outlineLevel="0" collapsed="false">
      <c r="A6" s="18" t="s">
        <v>78</v>
      </c>
      <c r="B6" s="25" t="s">
        <v>81</v>
      </c>
      <c r="C6" s="9"/>
      <c r="D6" s="15" t="n">
        <v>3.536</v>
      </c>
      <c r="E6" s="15" t="n">
        <v>3.536</v>
      </c>
      <c r="F6" s="11" t="str">
        <f aca="false">IF(OR(C6="",D6=""),"",IF(D6=0,"",(C6-D6)/D6))</f>
        <v/>
      </c>
      <c r="G6" s="21" t="s">
        <v>82</v>
      </c>
    </row>
    <row r="7" customFormat="false" ht="15" hidden="false" customHeight="false" outlineLevel="0" collapsed="false">
      <c r="A7" s="18" t="s">
        <v>83</v>
      </c>
      <c r="B7" s="25" t="s">
        <v>79</v>
      </c>
      <c r="C7" s="9"/>
      <c r="D7" s="15" t="n">
        <v>4.442</v>
      </c>
      <c r="E7" s="15" t="n">
        <v>4.3</v>
      </c>
      <c r="F7" s="11" t="str">
        <f aca="false">IF(OR(C7="",D7=""),"",IF(D7=0,"",(C7-D7)/D7))</f>
        <v/>
      </c>
      <c r="G7" s="21" t="s">
        <v>84</v>
      </c>
    </row>
    <row r="8" customFormat="false" ht="15" hidden="false" customHeight="false" outlineLevel="0" collapsed="false">
      <c r="A8" s="18" t="s">
        <v>83</v>
      </c>
      <c r="B8" s="25" t="s">
        <v>81</v>
      </c>
      <c r="C8" s="9"/>
      <c r="D8" s="15" t="n">
        <v>2.158</v>
      </c>
      <c r="E8" s="15" t="n">
        <v>2.15</v>
      </c>
      <c r="F8" s="11" t="str">
        <f aca="false">IF(OR(C8="",D8=""),"",IF(D8=0,"",(C8-D8)/D8))</f>
        <v/>
      </c>
      <c r="G8" s="21" t="s">
        <v>85</v>
      </c>
    </row>
    <row r="9" customFormat="false" ht="15" hidden="false" customHeight="false" outlineLevel="0" collapsed="false">
      <c r="A9" s="18" t="s">
        <v>83</v>
      </c>
      <c r="B9" s="25" t="s">
        <v>86</v>
      </c>
      <c r="C9" s="9"/>
      <c r="D9" s="15" t="n">
        <v>1.334</v>
      </c>
      <c r="E9" s="15" t="n">
        <v>1.369</v>
      </c>
      <c r="F9" s="11" t="str">
        <f aca="false">IF(OR(C9="",D9=""),"",IF(D9=0,"",(C9-D9)/D9))</f>
        <v/>
      </c>
      <c r="G9" s="21" t="s">
        <v>87</v>
      </c>
    </row>
    <row r="10" customFormat="false" ht="15" hidden="false" customHeight="false" outlineLevel="0" collapsed="false">
      <c r="A10" s="18" t="s">
        <v>88</v>
      </c>
      <c r="B10" s="25" t="s">
        <v>79</v>
      </c>
      <c r="C10" s="9"/>
      <c r="D10" s="15" t="n">
        <v>4.44</v>
      </c>
      <c r="E10" s="15"/>
      <c r="F10" s="11" t="str">
        <f aca="false">IF(OR(C10="",D10=""),"",IF(D10=0,"",(C10-D10)/D10))</f>
        <v/>
      </c>
      <c r="G10" s="20" t="s">
        <v>89</v>
      </c>
    </row>
    <row r="11" customFormat="false" ht="15" hidden="false" customHeight="false" outlineLevel="0" collapsed="false">
      <c r="A11" s="18" t="s">
        <v>88</v>
      </c>
      <c r="B11" s="25" t="s">
        <v>81</v>
      </c>
      <c r="C11" s="9"/>
      <c r="D11" s="15" t="n">
        <v>2.877</v>
      </c>
      <c r="E11" s="15"/>
      <c r="F11" s="11" t="str">
        <f aca="false">IF(OR(C11="",D11=""),"",IF(D11=0,"",(C11-D11)/D11))</f>
        <v/>
      </c>
      <c r="G11" s="21" t="s">
        <v>90</v>
      </c>
    </row>
    <row r="12" customFormat="false" ht="15" hidden="false" customHeight="false" outlineLevel="0" collapsed="false">
      <c r="A12" s="18" t="s">
        <v>88</v>
      </c>
      <c r="B12" s="25" t="s">
        <v>86</v>
      </c>
      <c r="C12" s="9"/>
      <c r="D12" s="15" t="n">
        <v>2.692</v>
      </c>
      <c r="E12" s="15"/>
      <c r="F12" s="11" t="str">
        <f aca="false">IF(OR(C12="",D12=""),"",IF(D12=0,"",(C12-D12)/D12))</f>
        <v/>
      </c>
      <c r="G12" s="21" t="s">
        <v>91</v>
      </c>
    </row>
    <row r="13" customFormat="false" ht="15" hidden="false" customHeight="false" outlineLevel="0" collapsed="false">
      <c r="A13" s="18" t="s">
        <v>88</v>
      </c>
      <c r="B13" s="18" t="s">
        <v>92</v>
      </c>
      <c r="C13" s="9"/>
      <c r="D13" s="15" t="n">
        <v>3.222</v>
      </c>
      <c r="E13" s="15" t="n">
        <v>7.2</v>
      </c>
      <c r="F13" s="11" t="str">
        <f aca="false">IF(OR(C13="",D13=""),"",IF(D13=0,"",(C13-D13)/D13))</f>
        <v/>
      </c>
      <c r="G13" s="20" t="s">
        <v>93</v>
      </c>
    </row>
    <row r="15" customFormat="false" ht="15" hidden="false" customHeight="false" outlineLevel="0" collapsed="false">
      <c r="A15" s="18" t="s">
        <v>94</v>
      </c>
      <c r="B15" s="26" t="s">
        <v>95</v>
      </c>
      <c r="C15" s="11" t="str">
        <f aca="false">IF(OR(C9="",C8="",C8=0),"",C9^2/C8^2)</f>
        <v/>
      </c>
      <c r="D15" s="27" t="n">
        <v>0.3823</v>
      </c>
      <c r="E15" s="27" t="n">
        <v>0.4053</v>
      </c>
      <c r="F15" s="11" t="str">
        <f aca="false">IF(OR(C15="",D15=""),"",IF(D15=0,"",(C15-D15)/D15))</f>
        <v/>
      </c>
      <c r="G15" s="20" t="s">
        <v>96</v>
      </c>
    </row>
    <row r="16" customFormat="false" ht="15" hidden="false" customHeight="false" outlineLevel="0" collapsed="false">
      <c r="A16" s="18" t="s">
        <v>94</v>
      </c>
      <c r="B16" s="26" t="s">
        <v>97</v>
      </c>
      <c r="C16" s="11" t="str">
        <f aca="false">IF(OR(C12="",C11="",C11=0),"",C12^2/C11^2)</f>
        <v/>
      </c>
      <c r="D16" s="27" t="n">
        <v>0.8758</v>
      </c>
      <c r="E16" s="27"/>
      <c r="F16" s="11" t="str">
        <f aca="false">IF(OR(C16="",D16=""),"",IF(D16=0,"",(C16-D16)/D16))</f>
        <v/>
      </c>
      <c r="G16" s="20" t="s">
        <v>98</v>
      </c>
    </row>
    <row r="18" customFormat="false" ht="15" hidden="false" customHeight="false" outlineLevel="0" collapsed="false">
      <c r="A18" s="12" t="s">
        <v>99</v>
      </c>
    </row>
    <row r="20" customFormat="false" ht="15" hidden="false" customHeight="false" outlineLevel="0" collapsed="false">
      <c r="A20" s="3" t="s">
        <v>38</v>
      </c>
    </row>
    <row r="21" customFormat="false" ht="15" hidden="false" customHeight="false" outlineLevel="0" collapsed="false">
      <c r="A21" s="17" t="s">
        <v>39</v>
      </c>
      <c r="B21" s="17" t="s">
        <v>40</v>
      </c>
      <c r="C21" s="17" t="s">
        <v>41</v>
      </c>
    </row>
    <row r="22" customFormat="false" ht="15" hidden="false" customHeight="false" outlineLevel="0" collapsed="false">
      <c r="A22" s="18" t="s">
        <v>100</v>
      </c>
      <c r="B22" s="19"/>
      <c r="C22" s="21" t="s">
        <v>101</v>
      </c>
    </row>
    <row r="23" customFormat="false" ht="15" hidden="false" customHeight="false" outlineLevel="0" collapsed="false">
      <c r="A23" s="18" t="s">
        <v>102</v>
      </c>
      <c r="B23" s="19"/>
      <c r="C23" s="20" t="s">
        <v>103</v>
      </c>
    </row>
    <row r="24" customFormat="false" ht="15" hidden="false" customHeight="false" outlineLevel="0" collapsed="false">
      <c r="A24" s="18" t="s">
        <v>104</v>
      </c>
      <c r="B24" s="19"/>
      <c r="C24" s="20" t="s">
        <v>105</v>
      </c>
    </row>
    <row r="25" customFormat="false" ht="15" hidden="false" customHeight="false" outlineLevel="0" collapsed="false">
      <c r="A25" s="18" t="s">
        <v>106</v>
      </c>
      <c r="B25" s="19"/>
      <c r="C25" s="21" t="s">
        <v>107</v>
      </c>
    </row>
    <row r="26" customFormat="false" ht="15" hidden="false" customHeight="false" outlineLevel="0" collapsed="false">
      <c r="A26" s="18" t="s">
        <v>50</v>
      </c>
      <c r="B26" s="19"/>
      <c r="C26" s="20" t="s">
        <v>68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2" min="1" style="0" width="28.3"/>
    <col collapsed="false" customWidth="true" hidden="false" outlineLevel="0" max="3" min="3" style="0" width="13.06"/>
    <col collapsed="false" customWidth="true" hidden="false" outlineLevel="0" max="4" min="4" style="0" width="17.41"/>
    <col collapsed="false" customWidth="true" hidden="false" outlineLevel="0" max="5" min="5" style="0" width="15.23"/>
    <col collapsed="false" customWidth="true" hidden="false" outlineLevel="0" max="6" min="6" style="0" width="13.06"/>
    <col collapsed="false" customWidth="true" hidden="false" outlineLevel="0" max="7" min="7" style="0" width="60.94"/>
  </cols>
  <sheetData>
    <row r="1" customFormat="false" ht="17.9" hidden="false" customHeight="false" outlineLevel="0" collapsed="false">
      <c r="A1" s="13" t="s">
        <v>108</v>
      </c>
      <c r="B1" s="13"/>
      <c r="C1" s="13"/>
      <c r="D1" s="13"/>
      <c r="E1" s="13"/>
      <c r="F1" s="13"/>
      <c r="G1" s="13"/>
    </row>
    <row r="2" customFormat="false" ht="11.9" hidden="false" customHeight="false" outlineLevel="0" collapsed="false">
      <c r="A2" s="2" t="s">
        <v>109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7" t="s">
        <v>71</v>
      </c>
      <c r="B4" s="7" t="s">
        <v>72</v>
      </c>
      <c r="C4" s="7" t="s">
        <v>73</v>
      </c>
      <c r="D4" s="7" t="s">
        <v>74</v>
      </c>
      <c r="E4" s="7" t="s">
        <v>75</v>
      </c>
      <c r="F4" s="7" t="s">
        <v>76</v>
      </c>
      <c r="G4" s="7" t="s">
        <v>77</v>
      </c>
    </row>
    <row r="5" customFormat="false" ht="15" hidden="false" customHeight="false" outlineLevel="0" collapsed="false">
      <c r="A5" s="18" t="s">
        <v>110</v>
      </c>
      <c r="B5" s="25" t="s">
        <v>79</v>
      </c>
      <c r="C5" s="9"/>
      <c r="D5" s="15" t="n">
        <v>2.5</v>
      </c>
      <c r="E5" s="15" t="n">
        <v>2.5</v>
      </c>
      <c r="F5" s="11" t="str">
        <f aca="false">IF(OR(C5="",D5=""),"",IF(D5=0,"",(C5-D5)/D5))</f>
        <v/>
      </c>
      <c r="G5" s="21" t="s">
        <v>111</v>
      </c>
    </row>
    <row r="6" customFormat="false" ht="15" hidden="false" customHeight="false" outlineLevel="0" collapsed="false">
      <c r="A6" s="18" t="s">
        <v>110</v>
      </c>
      <c r="B6" s="25" t="s">
        <v>81</v>
      </c>
      <c r="C6" s="9"/>
      <c r="D6" s="15" t="n">
        <v>1.768</v>
      </c>
      <c r="E6" s="15" t="n">
        <v>1.768</v>
      </c>
      <c r="F6" s="11" t="str">
        <f aca="false">IF(OR(C6="",D6=""),"",IF(D6=0,"",(C6-D6)/D6))</f>
        <v/>
      </c>
      <c r="G6" s="21" t="s">
        <v>112</v>
      </c>
    </row>
    <row r="7" customFormat="false" ht="15" hidden="false" customHeight="false" outlineLevel="0" collapsed="false">
      <c r="A7" s="18" t="s">
        <v>113</v>
      </c>
      <c r="B7" s="25" t="s">
        <v>79</v>
      </c>
      <c r="C7" s="9"/>
      <c r="D7" s="15" t="n">
        <v>1.464</v>
      </c>
      <c r="E7" s="15" t="n">
        <v>1.1</v>
      </c>
      <c r="F7" s="11" t="str">
        <f aca="false">IF(OR(C7="",D7=""),"",IF(D7=0,"",(C7-D7)/D7))</f>
        <v/>
      </c>
      <c r="G7" s="20" t="s">
        <v>114</v>
      </c>
    </row>
    <row r="8" customFormat="false" ht="15" hidden="false" customHeight="false" outlineLevel="0" collapsed="false">
      <c r="A8" s="18" t="s">
        <v>113</v>
      </c>
      <c r="B8" s="25" t="s">
        <v>81</v>
      </c>
      <c r="C8" s="9"/>
      <c r="D8" s="15" t="n">
        <v>0.914</v>
      </c>
      <c r="E8" s="15" t="n">
        <v>0.778</v>
      </c>
      <c r="F8" s="11" t="str">
        <f aca="false">IF(OR(C8="",D8=""),"",IF(D8=0,"",(C8-D8)/D8))</f>
        <v/>
      </c>
      <c r="G8" s="20" t="s">
        <v>115</v>
      </c>
    </row>
    <row r="9" customFormat="false" ht="15" hidden="false" customHeight="false" outlineLevel="0" collapsed="false">
      <c r="A9" s="18" t="s">
        <v>113</v>
      </c>
      <c r="B9" s="25" t="s">
        <v>86</v>
      </c>
      <c r="C9" s="9"/>
      <c r="D9" s="15" t="n">
        <v>0.728</v>
      </c>
      <c r="E9" s="15" t="n">
        <v>0.7</v>
      </c>
      <c r="F9" s="11" t="str">
        <f aca="false">IF(OR(C9="",D9=""),"",IF(D9=0,"",(C9-D9)/D9))</f>
        <v/>
      </c>
      <c r="G9" s="20" t="s">
        <v>116</v>
      </c>
    </row>
    <row r="10" customFormat="false" ht="15" hidden="false" customHeight="false" outlineLevel="0" collapsed="false">
      <c r="A10" s="18" t="s">
        <v>117</v>
      </c>
      <c r="B10" s="25" t="s">
        <v>79</v>
      </c>
      <c r="C10" s="9"/>
      <c r="D10" s="15" t="n">
        <v>1.445</v>
      </c>
      <c r="E10" s="15"/>
      <c r="F10" s="11" t="str">
        <f aca="false">IF(OR(C10="",D10=""),"",IF(D10=0,"",(C10-D10)/D10))</f>
        <v/>
      </c>
      <c r="G10" s="21" t="s">
        <v>118</v>
      </c>
    </row>
    <row r="11" customFormat="false" ht="15" hidden="false" customHeight="false" outlineLevel="0" collapsed="false">
      <c r="A11" s="18" t="s">
        <v>117</v>
      </c>
      <c r="B11" s="18" t="s">
        <v>92</v>
      </c>
      <c r="C11" s="9"/>
      <c r="D11" s="15" t="n">
        <v>0.61</v>
      </c>
      <c r="E11" s="15" t="n">
        <v>0.917</v>
      </c>
      <c r="F11" s="11" t="str">
        <f aca="false">IF(OR(C11="",D11=""),"",IF(D11=0,"",(C11-D11)/D11))</f>
        <v/>
      </c>
      <c r="G11" s="20" t="s">
        <v>119</v>
      </c>
    </row>
    <row r="12" customFormat="false" ht="15" hidden="false" customHeight="false" outlineLevel="0" collapsed="false">
      <c r="A12" s="18" t="s">
        <v>120</v>
      </c>
      <c r="B12" s="25" t="s">
        <v>79</v>
      </c>
      <c r="C12" s="9"/>
      <c r="D12" s="15" t="n">
        <v>1.464</v>
      </c>
      <c r="E12" s="15"/>
      <c r="F12" s="11" t="str">
        <f aca="false">IF(OR(C12="",D12=""),"",IF(D12=0,"",(C12-D12)/D12))</f>
        <v/>
      </c>
      <c r="G12" s="20" t="s">
        <v>121</v>
      </c>
    </row>
    <row r="13" customFormat="false" ht="15" hidden="false" customHeight="false" outlineLevel="0" collapsed="false">
      <c r="A13" s="18" t="s">
        <v>120</v>
      </c>
      <c r="B13" s="25" t="s">
        <v>122</v>
      </c>
      <c r="C13" s="9"/>
      <c r="D13" s="15"/>
      <c r="E13" s="15"/>
      <c r="F13" s="11" t="str">
        <f aca="false">IF(OR(C13="",D13=""),"",IF(D13=0,"",(C13-D13)/D13))</f>
        <v/>
      </c>
      <c r="G13" s="20" t="s">
        <v>123</v>
      </c>
    </row>
    <row r="15" customFormat="false" ht="15" hidden="false" customHeight="false" outlineLevel="0" collapsed="false">
      <c r="A15" s="18" t="s">
        <v>94</v>
      </c>
      <c r="B15" s="26" t="s">
        <v>124</v>
      </c>
      <c r="C15" s="11" t="str">
        <f aca="false">IF(OR(C9="",C8="",C8=0),"",C9^2/C8^2)</f>
        <v/>
      </c>
      <c r="D15" s="27" t="n">
        <v>0.6354</v>
      </c>
      <c r="E15" s="27" t="n">
        <v>0.8106</v>
      </c>
      <c r="F15" s="11" t="str">
        <f aca="false">IF(OR(C15="",D15=""),"",IF(D15=0,"",(C15-D15)/D15))</f>
        <v/>
      </c>
      <c r="G15" s="20" t="s">
        <v>125</v>
      </c>
    </row>
    <row r="16" customFormat="false" ht="15" hidden="false" customHeight="false" outlineLevel="0" collapsed="false">
      <c r="A16" s="18" t="s">
        <v>94</v>
      </c>
      <c r="B16" s="26" t="s">
        <v>126</v>
      </c>
      <c r="C16" s="11" t="str">
        <f aca="false">IF(OR(C11="",C10="",C10=0),"",C11/C10)</f>
        <v/>
      </c>
      <c r="D16" s="27" t="n">
        <v>0.422</v>
      </c>
      <c r="E16" s="27" t="n">
        <v>0.8333</v>
      </c>
      <c r="F16" s="11" t="str">
        <f aca="false">IF(OR(C16="",D16=""),"",IF(D16=0,"",(C16-D16)/D16))</f>
        <v/>
      </c>
      <c r="G16" s="20" t="s">
        <v>127</v>
      </c>
    </row>
    <row r="18" customFormat="false" ht="15" hidden="false" customHeight="false" outlineLevel="0" collapsed="false">
      <c r="A18" s="12" t="s">
        <v>128</v>
      </c>
    </row>
    <row r="20" customFormat="false" ht="15" hidden="false" customHeight="false" outlineLevel="0" collapsed="false">
      <c r="A20" s="3" t="s">
        <v>38</v>
      </c>
    </row>
    <row r="21" customFormat="false" ht="15" hidden="false" customHeight="false" outlineLevel="0" collapsed="false">
      <c r="A21" s="17" t="s">
        <v>39</v>
      </c>
      <c r="B21" s="17" t="s">
        <v>40</v>
      </c>
      <c r="C21" s="17" t="s">
        <v>41</v>
      </c>
    </row>
    <row r="22" customFormat="false" ht="15" hidden="false" customHeight="false" outlineLevel="0" collapsed="false">
      <c r="A22" s="18" t="s">
        <v>129</v>
      </c>
      <c r="B22" s="19"/>
      <c r="C22" s="20" t="s">
        <v>130</v>
      </c>
    </row>
    <row r="23" customFormat="false" ht="15" hidden="false" customHeight="false" outlineLevel="0" collapsed="false">
      <c r="A23" s="18" t="s">
        <v>131</v>
      </c>
      <c r="B23" s="19"/>
      <c r="C23" s="20" t="s">
        <v>132</v>
      </c>
    </row>
    <row r="24" customFormat="false" ht="15" hidden="false" customHeight="false" outlineLevel="0" collapsed="false">
      <c r="A24" s="18" t="s">
        <v>133</v>
      </c>
      <c r="B24" s="19"/>
      <c r="C24" s="20" t="s">
        <v>134</v>
      </c>
    </row>
    <row r="25" customFormat="false" ht="15" hidden="false" customHeight="false" outlineLevel="0" collapsed="false">
      <c r="A25" s="18" t="s">
        <v>135</v>
      </c>
      <c r="B25" s="19"/>
      <c r="C25" s="21" t="s">
        <v>136</v>
      </c>
    </row>
    <row r="26" customFormat="false" ht="15" hidden="false" customHeight="false" outlineLevel="0" collapsed="false">
      <c r="A26" s="18" t="s">
        <v>50</v>
      </c>
      <c r="B26" s="19"/>
      <c r="C26" s="20" t="s">
        <v>68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2026-10-02T12:09:32Z</dcterms:created>
  <dc:creator>openpyxl</dc:creator>
  <dc:description/>
  <dc:language>zh-Hant</dc:language>
  <cp:lastModifiedBy/>
  <dcterms:modified xsi:type="dcterms:W3CDTF">2026-10-02T20:09:35Z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