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順偏" sheetId="2" state="visible" r:id="rId2"/>
    <sheet xmlns:r="http://schemas.openxmlformats.org/officeDocument/2006/relationships" name="實驗二 逆偏" sheetId="3" state="visible" r:id="rId3"/>
    <sheet xmlns:r="http://schemas.openxmlformats.org/officeDocument/2006/relationships" name="實驗三 半波" sheetId="4" state="visible" r:id="rId4"/>
    <sheet xmlns:r="http://schemas.openxmlformats.org/officeDocument/2006/relationships" name="實驗四 橋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%"/>
    <numFmt numFmtId="167" formatCode="0.0000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166" fontId="4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167" fontId="4" fillId="0" borderId="1" pivotButton="0" quotePrefix="0" xfId="0"/>
    <xf numFmtId="164" fontId="4" fillId="0" borderId="1" pivotButton="0" quotePrefix="0" xfId="0"/>
    <xf numFmtId="0" fontId="4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 I-V 特性曲線：實測 vs LTspice 預報</a:t>
            </a:r>
          </a:p>
        </rich>
      </tx>
    </title>
    <plotArea>
      <scatterChart>
        <ser>
          <idx val="0"/>
          <order val="0"/>
          <tx>
            <v>實測（電表）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'實驗一 順偏'!$B$7:$B$26</f>
            </numRef>
          </xVal>
          <yVal>
            <numRef>
              <f>'實驗一 順偏'!$C$7:$C$26</f>
            </numRef>
          </yVal>
        </ser>
        <ser>
          <idx val="1"/>
          <order val="1"/>
          <tx>
            <v>LTspice 1N4007（預報）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順偏'!$G$7:$G$26</f>
            </numRef>
          </xVal>
          <yVal>
            <numRef>
              <f>'實驗一 順偏'!$H$7:$H$26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V_D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 V_D 對 Vs：過了導通電壓就幾乎不再上升</a:t>
            </a:r>
          </a:p>
        </rich>
      </tx>
    </title>
    <plotArea>
      <scatterChart>
        <ser>
          <idx val="0"/>
          <order val="0"/>
          <tx>
            <v>實測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'實驗一 順偏'!$A$7:$A$26</f>
            </numRef>
          </xVal>
          <yVal>
            <numRef>
              <f>'實驗一 順偏'!$B$7:$B$26</f>
            </numRef>
          </yVal>
        </ser>
        <ser>
          <idx val="1"/>
          <order val="1"/>
          <tx>
            <v>LTspice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順偏'!$A$7:$A$26</f>
            </numRef>
          </xVal>
          <yVal>
            <numRef>
              <f>'實驗一 順偏'!$G$7:$G$26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Vs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V_D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 V_D 對 Vs：逆偏時 V_D 幾乎等於 Vs</a:t>
            </a:r>
          </a:p>
        </rich>
      </tx>
    </title>
    <plotArea>
      <scatterChart>
        <ser>
          <idx val="0"/>
          <order val="0"/>
          <tx>
            <v>實測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逆偏'!$B$7:$B$26</f>
            </numRef>
          </yVal>
        </ser>
        <ser>
          <idx val="1"/>
          <order val="1"/>
          <tx>
            <v>LTspice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逆偏'!$E$7:$E$26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Vs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V_D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 漏電流對 Vs：實測、LTspice 與 datasheet 上限</a:t>
            </a:r>
          </a:p>
        </rich>
      </tx>
    </title>
    <plotArea>
      <scatterChart>
        <ser>
          <idx val="0"/>
          <order val="0"/>
          <tx>
            <v>實測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逆偏'!$C$7:$C$26</f>
            </numRef>
          </yVal>
        </ser>
        <ser>
          <idx val="1"/>
          <order val="1"/>
          <tx>
            <v>LTspice 1N4007</v>
          </tx>
          <spPr>
            <a:ln xmlns:a="http://schemas.openxmlformats.org/drawingml/2006/main">
              <a:prstDash val="solid"/>
            </a:ln>
          </spPr>
          <marker>
            <symbol val="non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逆偏'!$G$7:$G$26</f>
            </numRef>
          </yVal>
        </ser>
        <ser>
          <idx val="2"/>
          <order val="2"/>
          <tx>
            <v>datasheet 上限 5 µA</v>
          </tx>
          <spPr>
            <a:ln xmlns:a="http://schemas.openxmlformats.org/drawingml/2006/main">
              <a:prstDash val="solid"/>
            </a:ln>
          </spPr>
          <marker>
            <symbol val="non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逆偏'!$H$7:$H$26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Vs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 (µA)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實驗三：實測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'實驗三 半波'!C4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'實驗三 半波'!$B$5:$B$11</f>
            </numRef>
          </cat>
          <val>
            <numRef>
              <f>'實驗三 半波'!$C$5:$C$11</f>
            </numRef>
          </val>
        </ser>
        <ser>
          <idx val="1"/>
          <order val="1"/>
          <tx>
            <strRef>
              <f>'實驗三 半波'!D4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'實驗三 半波'!$B$5:$B$11</f>
            </numRef>
          </cat>
          <val>
            <numRef>
              <f>'實驗三 半波'!$D$5:$D$11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電壓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實驗四：實測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'實驗四 橋式'!C4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'實驗四 橋式'!$B$5:$B$13</f>
            </numRef>
          </cat>
          <val>
            <numRef>
              <f>'實驗四 橋式'!$C$5:$C$13</f>
            </numRef>
          </val>
        </ser>
        <ser>
          <idx val="1"/>
          <order val="1"/>
          <tx>
            <strRef>
              <f>'實驗四 橋式'!D4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'實驗四 橋式'!$B$5:$B$13</f>
            </numRef>
          </cat>
          <val>
            <numRef>
              <f>'實驗四 橋式'!$D$5:$D$13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電壓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16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Lab 1 二極體實驗　數據記錄簿</t>
        </is>
      </c>
    </row>
    <row r="2">
      <c r="A2" s="2" t="inlineStr">
        <is>
          <t>電子學實作系列第 3 週．App_Lab1.pdf 四個實驗．當天用筆電直接填</t>
        </is>
      </c>
    </row>
    <row r="4">
      <c r="A4" s="3" t="inlineStr">
        <is>
          <t>怎麼用</t>
        </is>
      </c>
      <c r="B4" s="4" t="inlineStr"/>
    </row>
    <row r="5">
      <c r="A5" s="4" t="inlineStr">
        <is>
          <t>1</t>
        </is>
      </c>
      <c r="B5" s="4" t="inlineStr">
        <is>
          <t>每個實驗一張工作表，只要填**黃底**的格子，其他欄位都是公式或預報值，不要覆蓋。</t>
        </is>
      </c>
    </row>
    <row r="6">
      <c r="A6" s="4" t="inlineStr">
        <is>
          <t>2</t>
        </is>
      </c>
      <c r="B6" s="4" t="inlineStr">
        <is>
          <t>填一列，右邊的計算欄與下面的圖就會跟著更新；不必等全部填完才看得到對照。</t>
        </is>
      </c>
    </row>
    <row r="7">
      <c r="A7" s="4" t="inlineStr">
        <is>
          <t>3</t>
        </is>
      </c>
      <c r="B7" s="4" t="inlineStr">
        <is>
          <t>藍色字是寫死的輸入：講義規格或 LTspice 模擬結果。黑色字是公式。</t>
        </is>
      </c>
    </row>
    <row r="8">
      <c r="A8" s="4" t="inlineStr">
        <is>
          <t>4</t>
        </is>
      </c>
      <c r="B8" s="4" t="inlineStr">
        <is>
          <t>每張工作表下方都有圖，橫軸縱軸已經設好，實測與預報畫在同一張上直接對照。</t>
        </is>
      </c>
    </row>
    <row r="9">
      <c r="A9" s="4" t="inlineStr">
        <is>
          <t>5</t>
        </is>
      </c>
      <c r="B9" s="4" t="inlineStr">
        <is>
          <t>當天上傳 E3 之前先存一份 xlsx；回家要跑 plot_measured.py 的話，把實驗一、二的</t>
        </is>
      </c>
    </row>
    <row r="10">
      <c r="A10" s="4" t="inlineStr"/>
      <c r="B10" s="4" t="inlineStr">
        <is>
          <t xml:space="preserve">　　前三欄另存成 measured/lab1-exp1-forward.csv、lab1-exp2-reverse.csv（逗號分隔）。</t>
        </is>
      </c>
    </row>
    <row r="11">
      <c r="A11" s="4" t="inlineStr"/>
      <c r="B11" s="4" t="inlineStr"/>
    </row>
    <row r="12">
      <c r="A12" s="3" t="inlineStr">
        <is>
          <t>填寫範例（實驗一）</t>
        </is>
      </c>
      <c r="B12" s="4" t="inlineStr"/>
    </row>
    <row r="13" ht="30" customHeight="1">
      <c r="A13" s="5" t="inlineStr">
        <is>
          <t>Vs (V)</t>
        </is>
      </c>
      <c r="B13" s="5" t="inlineStr">
        <is>
          <t>實測 V_D (V)</t>
        </is>
      </c>
      <c r="C13" s="5" t="inlineStr">
        <is>
          <t>實測 I (mA)</t>
        </is>
      </c>
      <c r="D13" s="5" t="inlineStr">
        <is>
          <t>→ V_R (V)</t>
        </is>
      </c>
      <c r="E13" s="5" t="inlineStr">
        <is>
          <t>→ I 計算 (mA)</t>
        </is>
      </c>
      <c r="F13" s="5" t="inlineStr">
        <is>
          <t>→ 差異 (%)</t>
        </is>
      </c>
    </row>
    <row r="14">
      <c r="A14" s="6" t="n">
        <v>0.6</v>
      </c>
      <c r="B14" s="7" t="n">
        <v>0.552</v>
      </c>
      <c r="C14" s="7" t="n">
        <v>0.05</v>
      </c>
      <c r="D14" s="8" t="n">
        <v>0.048</v>
      </c>
      <c r="E14" s="8" t="n">
        <v>0.048</v>
      </c>
      <c r="F14" s="9" t="n">
        <v>-0.04</v>
      </c>
    </row>
    <row r="15">
      <c r="A15" s="2" t="inlineStr">
        <is>
          <t>↑ 這一列只是示範格式（電表讀 0.552 V／0.05 mA 就這樣填），正式表裡沒有這一列。</t>
        </is>
      </c>
    </row>
    <row r="17">
      <c r="A17" s="3" t="inlineStr">
        <is>
          <t>資料來源</t>
        </is>
      </c>
    </row>
    <row r="18">
      <c r="A18" s="2" t="inlineStr">
        <is>
          <t>預報欄由 simulations/lab1/*.raw（LTspice，真實 1N4007 模型）以 build_record_xlsx.py 產生；講義規格出自 App_Lab1.pdf。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6" customWidth="1" min="4" max="4"/>
    <col width="15" customWidth="1" min="5" max="5"/>
    <col width="14" customWidth="1" min="6" max="6"/>
    <col width="15" customWidth="1" min="7" max="7"/>
    <col width="15" customWidth="1" min="8" max="8"/>
    <col width="14" customWidth="1" min="9" max="9"/>
  </cols>
  <sheetData>
    <row r="1">
      <c r="A1" s="1" t="inlineStr">
        <is>
          <t>實驗一：順偏導通電壓（Forward Bias: Knee Voltage）</t>
        </is>
      </c>
    </row>
    <row r="2">
      <c r="A2" s="2" t="inlineStr">
        <is>
          <t>講義第 6 頁：Vs 每次加 0.1 V，記錄 V_D 與 I，畫出 I-V 特性曲線找導通電壓</t>
        </is>
      </c>
    </row>
    <row r="4">
      <c r="A4" s="3" t="inlineStr">
        <is>
          <t>限流電阻 R (Ω)</t>
        </is>
      </c>
      <c r="B4" s="10" t="n">
        <v>1000</v>
      </c>
      <c r="C4" s="2" t="inlineStr">
        <is>
          <t>← 講義第 6 頁指定；改這一格，右邊的 I 計算欄會跟著變</t>
        </is>
      </c>
    </row>
    <row r="6" ht="30" customHeight="1">
      <c r="A6" s="5" t="inlineStr">
        <is>
          <t>Vs (V)</t>
        </is>
      </c>
      <c r="B6" s="5" t="inlineStr">
        <is>
          <t>實測 V_D (V)</t>
        </is>
      </c>
      <c r="C6" s="5" t="inlineStr">
        <is>
          <t>實測 I (mA)
【電表】</t>
        </is>
      </c>
      <c r="D6" s="5" t="inlineStr">
        <is>
          <t>V_R = Vs − V_D (V)</t>
        </is>
      </c>
      <c r="E6" s="5" t="inlineStr">
        <is>
          <t>I = V_R / R (mA)</t>
        </is>
      </c>
      <c r="F6" s="5" t="inlineStr">
        <is>
          <t>電表 vs 計算
差異 (%)</t>
        </is>
      </c>
      <c r="G6" s="5" t="inlineStr">
        <is>
          <t>LTspice V_D (V)</t>
        </is>
      </c>
      <c r="H6" s="5" t="inlineStr">
        <is>
          <t>LTspice I (mA)</t>
        </is>
      </c>
      <c r="I6" s="5" t="inlineStr">
        <is>
          <t>V_D 誤差 (%)</t>
        </is>
      </c>
    </row>
    <row r="7">
      <c r="A7" s="6" t="n">
        <v>0.1</v>
      </c>
      <c r="B7" s="7" t="n"/>
      <c r="C7" s="7" t="n"/>
      <c r="D7" s="8">
        <f>IF(B7="","",A7-B7)</f>
        <v/>
      </c>
      <c r="E7" s="8">
        <f>IF(B7="","",(A7-B7)/$B$4*1000)</f>
        <v/>
      </c>
      <c r="F7" s="9">
        <f>IF(OR(C7="",E7="",E7=0),"",(C7-E7)/E7)</f>
        <v/>
      </c>
      <c r="G7" s="11" t="n">
        <v>0.1</v>
      </c>
      <c r="H7" s="11" t="n">
        <v>0</v>
      </c>
      <c r="I7" s="9">
        <f>IF(OR(B7="",G7=0),"",(B7-G7)/G7)</f>
        <v/>
      </c>
    </row>
    <row r="8">
      <c r="A8" s="6" t="n">
        <v>0.2</v>
      </c>
      <c r="B8" s="7" t="n"/>
      <c r="C8" s="7" t="n"/>
      <c r="D8" s="8">
        <f>IF(B8="","",A8-B8)</f>
        <v/>
      </c>
      <c r="E8" s="8">
        <f>IF(B8="","",(A8-B8)/$B$4*1000)</f>
        <v/>
      </c>
      <c r="F8" s="9">
        <f>IF(OR(C8="",E8="",E8=0),"",(C8-E8)/E8)</f>
        <v/>
      </c>
      <c r="G8" s="11" t="n">
        <v>0.2</v>
      </c>
      <c r="H8" s="11" t="n">
        <v>2e-05</v>
      </c>
      <c r="I8" s="9">
        <f>IF(OR(B8="",G8=0),"",(B8-G8)/G8)</f>
        <v/>
      </c>
    </row>
    <row r="9">
      <c r="A9" s="6" t="n">
        <v>0.3</v>
      </c>
      <c r="B9" s="7" t="n"/>
      <c r="C9" s="7" t="n"/>
      <c r="D9" s="8">
        <f>IF(B9="","",A9-B9)</f>
        <v/>
      </c>
      <c r="E9" s="8">
        <f>IF(B9="","",(A9-B9)/$B$4*1000)</f>
        <v/>
      </c>
      <c r="F9" s="9">
        <f>IF(OR(C9="",E9="",E9=0),"",(C9-E9)/E9)</f>
        <v/>
      </c>
      <c r="G9" s="11" t="n">
        <v>0.2996</v>
      </c>
      <c r="H9" s="11" t="n">
        <v>0.00035</v>
      </c>
      <c r="I9" s="9">
        <f>IF(OR(B9="",G9=0),"",(B9-G9)/G9)</f>
        <v/>
      </c>
    </row>
    <row r="10">
      <c r="A10" s="6" t="n">
        <v>0.4</v>
      </c>
      <c r="B10" s="7" t="n"/>
      <c r="C10" s="7" t="n"/>
      <c r="D10" s="8">
        <f>IF(B10="","",A10-B10)</f>
        <v/>
      </c>
      <c r="E10" s="8">
        <f>IF(B10="","",(A10-B10)/$B$4*1000)</f>
        <v/>
      </c>
      <c r="F10" s="9">
        <f>IF(OR(C10="",E10="",E10=0),"",(C10-E10)/E10)</f>
        <v/>
      </c>
      <c r="G10" s="11" t="n">
        <v>0.3951</v>
      </c>
      <c r="H10" s="11" t="n">
        <v>0.00493</v>
      </c>
      <c r="I10" s="9">
        <f>IF(OR(B10="",G10=0),"",(B10-G10)/G10)</f>
        <v/>
      </c>
    </row>
    <row r="11">
      <c r="A11" s="6" t="n">
        <v>0.5</v>
      </c>
      <c r="B11" s="7" t="n"/>
      <c r="C11" s="7" t="n"/>
      <c r="D11" s="8">
        <f>IF(B11="","",A11-B11)</f>
        <v/>
      </c>
      <c r="E11" s="8">
        <f>IF(B11="","",(A11-B11)/$B$4*1000)</f>
        <v/>
      </c>
      <c r="F11" s="9">
        <f>IF(OR(C11="",E11="",E11=0),"",(C11-E11)/E11)</f>
        <v/>
      </c>
      <c r="G11" s="11" t="n">
        <v>0.4655</v>
      </c>
      <c r="H11" s="11" t="n">
        <v>0.03447</v>
      </c>
      <c r="I11" s="9">
        <f>IF(OR(B11="",G11=0),"",(B11-G11)/G11)</f>
        <v/>
      </c>
    </row>
    <row r="12">
      <c r="A12" s="6" t="n">
        <v>0.6</v>
      </c>
      <c r="B12" s="7" t="n"/>
      <c r="C12" s="7" t="n"/>
      <c r="D12" s="8">
        <f>IF(B12="","",A12-B12)</f>
        <v/>
      </c>
      <c r="E12" s="8">
        <f>IF(B12="","",(A12-B12)/$B$4*1000)</f>
        <v/>
      </c>
      <c r="F12" s="9">
        <f>IF(OR(C12="",E12="",E12=0),"",(C12-E12)/E12)</f>
        <v/>
      </c>
      <c r="G12" s="11" t="n">
        <v>0.503</v>
      </c>
      <c r="H12" s="11" t="n">
        <v>0.09701</v>
      </c>
      <c r="I12" s="9">
        <f>IF(OR(B12="",G12=0),"",(B12-G12)/G12)</f>
        <v/>
      </c>
    </row>
    <row r="13">
      <c r="A13" s="6" t="n">
        <v>0.7</v>
      </c>
      <c r="B13" s="7" t="n"/>
      <c r="C13" s="7" t="n"/>
      <c r="D13" s="8">
        <f>IF(B13="","",A13-B13)</f>
        <v/>
      </c>
      <c r="E13" s="8">
        <f>IF(B13="","",(A13-B13)/$B$4*1000)</f>
        <v/>
      </c>
      <c r="F13" s="9">
        <f>IF(OR(C13="",E13="",E13=0),"",(C13-E13)/E13)</f>
        <v/>
      </c>
      <c r="G13" s="11" t="n">
        <v>0.5245</v>
      </c>
      <c r="H13" s="11" t="n">
        <v>0.17553</v>
      </c>
      <c r="I13" s="9">
        <f>IF(OR(B13="",G13=0),"",(B13-G13)/G13)</f>
        <v/>
      </c>
    </row>
    <row r="14">
      <c r="A14" s="6" t="n">
        <v>0.8</v>
      </c>
      <c r="B14" s="7" t="n"/>
      <c r="C14" s="7" t="n"/>
      <c r="D14" s="8">
        <f>IF(B14="","",A14-B14)</f>
        <v/>
      </c>
      <c r="E14" s="8">
        <f>IF(B14="","",(A14-B14)/$B$4*1000)</f>
        <v/>
      </c>
      <c r="F14" s="9">
        <f>IF(OR(C14="",E14="",E14=0),"",(C14-E14)/E14)</f>
        <v/>
      </c>
      <c r="G14" s="11" t="n">
        <v>0.5389</v>
      </c>
      <c r="H14" s="11" t="n">
        <v>0.26114</v>
      </c>
      <c r="I14" s="9">
        <f>IF(OR(B14="",G14=0),"",(B14-G14)/G14)</f>
        <v/>
      </c>
    </row>
    <row r="15">
      <c r="A15" s="6" t="n">
        <v>0.9</v>
      </c>
      <c r="B15" s="7" t="n"/>
      <c r="C15" s="7" t="n"/>
      <c r="D15" s="8">
        <f>IF(B15="","",A15-B15)</f>
        <v/>
      </c>
      <c r="E15" s="8">
        <f>IF(B15="","",(A15-B15)/$B$4*1000)</f>
        <v/>
      </c>
      <c r="F15" s="9">
        <f>IF(OR(C15="",E15="",E15=0),"",(C15-E15)/E15)</f>
        <v/>
      </c>
      <c r="G15" s="11" t="n">
        <v>0.5495</v>
      </c>
      <c r="H15" s="11" t="n">
        <v>0.35048</v>
      </c>
      <c r="I15" s="9">
        <f>IF(OR(B15="",G15=0),"",(B15-G15)/G15)</f>
        <v/>
      </c>
    </row>
    <row r="16">
      <c r="A16" s="6" t="n">
        <v>1</v>
      </c>
      <c r="B16" s="7" t="n"/>
      <c r="C16" s="7" t="n"/>
      <c r="D16" s="8">
        <f>IF(B16="","",A16-B16)</f>
        <v/>
      </c>
      <c r="E16" s="8">
        <f>IF(B16="","",(A16-B16)/$B$4*1000)</f>
        <v/>
      </c>
      <c r="F16" s="9">
        <f>IF(OR(C16="",E16="",E16=0),"",(C16-E16)/E16)</f>
        <v/>
      </c>
      <c r="G16" s="11" t="n">
        <v>0.5579</v>
      </c>
      <c r="H16" s="11" t="n">
        <v>0.44207</v>
      </c>
      <c r="I16" s="9">
        <f>IF(OR(B16="",G16=0),"",(B16-G16)/G16)</f>
        <v/>
      </c>
    </row>
    <row r="17">
      <c r="A17" s="6" t="n">
        <v>1.1</v>
      </c>
      <c r="B17" s="7" t="n"/>
      <c r="C17" s="7" t="n"/>
      <c r="D17" s="8">
        <f>IF(B17="","",A17-B17)</f>
        <v/>
      </c>
      <c r="E17" s="8">
        <f>IF(B17="","",(A17-B17)/$B$4*1000)</f>
        <v/>
      </c>
      <c r="F17" s="9">
        <f>IF(OR(C17="",E17="",E17=0),"",(C17-E17)/E17)</f>
        <v/>
      </c>
      <c r="G17" s="11" t="n">
        <v>0.5648</v>
      </c>
      <c r="H17" s="11" t="n">
        <v>0.53515</v>
      </c>
      <c r="I17" s="9">
        <f>IF(OR(B17="",G17=0),"",(B17-G17)/G17)</f>
        <v/>
      </c>
    </row>
    <row r="18">
      <c r="A18" s="6" t="n">
        <v>1.2</v>
      </c>
      <c r="B18" s="7" t="n"/>
      <c r="C18" s="7" t="n"/>
      <c r="D18" s="8">
        <f>IF(B18="","",A18-B18)</f>
        <v/>
      </c>
      <c r="E18" s="8">
        <f>IF(B18="","",(A18-B18)/$B$4*1000)</f>
        <v/>
      </c>
      <c r="F18" s="9">
        <f>IF(OR(C18="",E18="",E18=0),"",(C18-E18)/E18)</f>
        <v/>
      </c>
      <c r="G18" s="11" t="n">
        <v>0.5707</v>
      </c>
      <c r="H18" s="11" t="n">
        <v>0.62928</v>
      </c>
      <c r="I18" s="9">
        <f>IF(OR(B18="",G18=0),"",(B18-G18)/G18)</f>
        <v/>
      </c>
    </row>
    <row r="19">
      <c r="A19" s="6" t="n">
        <v>1.3</v>
      </c>
      <c r="B19" s="7" t="n"/>
      <c r="C19" s="7" t="n"/>
      <c r="D19" s="8">
        <f>IF(B19="","",A19-B19)</f>
        <v/>
      </c>
      <c r="E19" s="8">
        <f>IF(B19="","",(A19-B19)/$B$4*1000)</f>
        <v/>
      </c>
      <c r="F19" s="9">
        <f>IF(OR(C19="",E19="",E19=0),"",(C19-E19)/E19)</f>
        <v/>
      </c>
      <c r="G19" s="11" t="n">
        <v>0.5758</v>
      </c>
      <c r="H19" s="11" t="n">
        <v>0.72419</v>
      </c>
      <c r="I19" s="9">
        <f>IF(OR(B19="",G19=0),"",(B19-G19)/G19)</f>
        <v/>
      </c>
    </row>
    <row r="20">
      <c r="A20" s="6" t="n">
        <v>1.4</v>
      </c>
      <c r="B20" s="7" t="n"/>
      <c r="C20" s="7" t="n"/>
      <c r="D20" s="8">
        <f>IF(B20="","",A20-B20)</f>
        <v/>
      </c>
      <c r="E20" s="8">
        <f>IF(B20="","",(A20-B20)/$B$4*1000)</f>
        <v/>
      </c>
      <c r="F20" s="9">
        <f>IF(OR(C20="",E20="",E20=0),"",(C20-E20)/E20)</f>
        <v/>
      </c>
      <c r="G20" s="11" t="n">
        <v>0.5803</v>
      </c>
      <c r="H20" s="11" t="n">
        <v>0.8197</v>
      </c>
      <c r="I20" s="9">
        <f>IF(OR(B20="",G20=0),"",(B20-G20)/G20)</f>
        <v/>
      </c>
    </row>
    <row r="21">
      <c r="A21" s="6" t="n">
        <v>1.5</v>
      </c>
      <c r="B21" s="7" t="n"/>
      <c r="C21" s="7" t="n"/>
      <c r="D21" s="8">
        <f>IF(B21="","",A21-B21)</f>
        <v/>
      </c>
      <c r="E21" s="8">
        <f>IF(B21="","",(A21-B21)/$B$4*1000)</f>
        <v/>
      </c>
      <c r="F21" s="9">
        <f>IF(OR(C21="",E21="",E21=0),"",(C21-E21)/E21)</f>
        <v/>
      </c>
      <c r="G21" s="11" t="n">
        <v>0.5843</v>
      </c>
      <c r="H21" s="11" t="n">
        <v>0.91569</v>
      </c>
      <c r="I21" s="9">
        <f>IF(OR(B21="",G21=0),"",(B21-G21)/G21)</f>
        <v/>
      </c>
    </row>
    <row r="22">
      <c r="A22" s="6" t="n">
        <v>1.6</v>
      </c>
      <c r="B22" s="7" t="n"/>
      <c r="C22" s="7" t="n"/>
      <c r="D22" s="8">
        <f>IF(B22="","",A22-B22)</f>
        <v/>
      </c>
      <c r="E22" s="8">
        <f>IF(B22="","",(A22-B22)/$B$4*1000)</f>
        <v/>
      </c>
      <c r="F22" s="9">
        <f>IF(OR(C22="",E22="",E22=0),"",(C22-E22)/E22)</f>
        <v/>
      </c>
      <c r="G22" s="11" t="n">
        <v>0.5879</v>
      </c>
      <c r="H22" s="11" t="n">
        <v>1.01206</v>
      </c>
      <c r="I22" s="9">
        <f>IF(OR(B22="",G22=0),"",(B22-G22)/G22)</f>
        <v/>
      </c>
    </row>
    <row r="23">
      <c r="A23" s="6" t="n">
        <v>1.7</v>
      </c>
      <c r="B23" s="7" t="n"/>
      <c r="C23" s="7" t="n"/>
      <c r="D23" s="8">
        <f>IF(B23="","",A23-B23)</f>
        <v/>
      </c>
      <c r="E23" s="8">
        <f>IF(B23="","",(A23-B23)/$B$4*1000)</f>
        <v/>
      </c>
      <c r="F23" s="9">
        <f>IF(OR(C23="",E23="",E23=0),"",(C23-E23)/E23)</f>
        <v/>
      </c>
      <c r="G23" s="11" t="n">
        <v>0.5911999999999999</v>
      </c>
      <c r="H23" s="11" t="n">
        <v>1.10875</v>
      </c>
      <c r="I23" s="9">
        <f>IF(OR(B23="",G23=0),"",(B23-G23)/G23)</f>
        <v/>
      </c>
    </row>
    <row r="24">
      <c r="A24" s="6" t="n">
        <v>1.8</v>
      </c>
      <c r="B24" s="7" t="n"/>
      <c r="C24" s="7" t="n"/>
      <c r="D24" s="8">
        <f>IF(B24="","",A24-B24)</f>
        <v/>
      </c>
      <c r="E24" s="8">
        <f>IF(B24="","",(A24-B24)/$B$4*1000)</f>
        <v/>
      </c>
      <c r="F24" s="9">
        <f>IF(OR(C24="",E24="",E24=0),"",(C24-E24)/E24)</f>
        <v/>
      </c>
      <c r="G24" s="11" t="n">
        <v>0.5943000000000001</v>
      </c>
      <c r="H24" s="11" t="n">
        <v>1.20571</v>
      </c>
      <c r="I24" s="9">
        <f>IF(OR(B24="",G24=0),"",(B24-G24)/G24)</f>
        <v/>
      </c>
    </row>
    <row r="25">
      <c r="A25" s="6" t="n">
        <v>1.9</v>
      </c>
      <c r="B25" s="7" t="n"/>
      <c r="C25" s="7" t="n"/>
      <c r="D25" s="8">
        <f>IF(B25="","",A25-B25)</f>
        <v/>
      </c>
      <c r="E25" s="8">
        <f>IF(B25="","",(A25-B25)/$B$4*1000)</f>
        <v/>
      </c>
      <c r="F25" s="9">
        <f>IF(OR(C25="",E25="",E25=0),"",(C25-E25)/E25)</f>
        <v/>
      </c>
      <c r="G25" s="11" t="n">
        <v>0.5971</v>
      </c>
      <c r="H25" s="11" t="n">
        <v>1.3029</v>
      </c>
      <c r="I25" s="9">
        <f>IF(OR(B25="",G25=0),"",(B25-G25)/G25)</f>
        <v/>
      </c>
    </row>
    <row r="26">
      <c r="A26" s="6" t="n">
        <v>2</v>
      </c>
      <c r="B26" s="7" t="n"/>
      <c r="C26" s="7" t="n"/>
      <c r="D26" s="8">
        <f>IF(B26="","",A26-B26)</f>
        <v/>
      </c>
      <c r="E26" s="8">
        <f>IF(B26="","",(A26-B26)/$B$4*1000)</f>
        <v/>
      </c>
      <c r="F26" s="9">
        <f>IF(OR(C26="",E26="",E26=0),"",(C26-E26)/E26)</f>
        <v/>
      </c>
      <c r="G26" s="11" t="n">
        <v>0.5997</v>
      </c>
      <c r="H26" s="11" t="n">
        <v>1.40029</v>
      </c>
      <c r="I26" s="9">
        <f>IF(OR(B26="",G26=0),"",(B26-G26)/G26)</f>
        <v/>
      </c>
    </row>
    <row r="28">
      <c r="A28" s="2" t="inlineStr">
        <is>
          <t>G、H 欄：LTspice 1N4007（lab1-exp1-forward.raw）在同一組 Vs 的模擬值，當預報用。F 欄兩者差太多通常是電表接成並聯。</t>
        </is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5" customWidth="1" min="5" max="5"/>
    <col width="15" customWidth="1" min="6" max="6"/>
    <col width="15" customWidth="1" min="7" max="7"/>
    <col width="17" customWidth="1" min="8" max="8"/>
  </cols>
  <sheetData>
    <row r="1">
      <c r="A1" s="1" t="inlineStr">
        <is>
          <t>實驗二：逆偏（Reverse Bias）</t>
        </is>
      </c>
    </row>
    <row r="2">
      <c r="A2" s="2" t="inlineStr">
        <is>
          <t>講義第 12 頁：Vs 每次加 1 V，記錄 V_D 與漏電流；電流表要用 µA 檔</t>
        </is>
      </c>
    </row>
    <row r="4">
      <c r="A4" s="3" t="inlineStr">
        <is>
          <t>datasheet 漏電流上限 (µA)</t>
        </is>
      </c>
      <c r="B4" s="6" t="n">
        <v>5</v>
      </c>
      <c r="C4" s="2" t="inlineStr">
        <is>
          <t>← 1N4007 datasheet 的 I_R 上限，圖上會畫成一條水平參考線</t>
        </is>
      </c>
    </row>
    <row r="6" ht="30" customHeight="1">
      <c r="A6" s="5" t="inlineStr">
        <is>
          <t>Vs (V)</t>
        </is>
      </c>
      <c r="B6" s="5" t="inlineStr">
        <is>
          <t>實測 V_D (V)</t>
        </is>
      </c>
      <c r="C6" s="5" t="inlineStr">
        <is>
          <t>實測 I (µA)</t>
        </is>
      </c>
      <c r="D6" s="5" t="inlineStr">
        <is>
          <t>Vs − V_D (V)</t>
        </is>
      </c>
      <c r="E6" s="5" t="inlineStr">
        <is>
          <t>LTspice V_D (V)</t>
        </is>
      </c>
      <c r="F6" s="5" t="inlineStr">
        <is>
          <t>LTspice I (nA)</t>
        </is>
      </c>
      <c r="G6" s="5" t="inlineStr">
        <is>
          <t>LTspice I (µA)</t>
        </is>
      </c>
      <c r="H6" s="5" t="inlineStr">
        <is>
          <t>datasheet 上限 (µA)</t>
        </is>
      </c>
    </row>
    <row r="7">
      <c r="A7" s="10" t="n">
        <v>1</v>
      </c>
      <c r="B7" s="7" t="n"/>
      <c r="C7" s="7" t="n"/>
      <c r="D7" s="8">
        <f>IF(B7="","",A7-B7)</f>
        <v/>
      </c>
      <c r="E7" s="11" t="n">
        <v>1</v>
      </c>
      <c r="F7" s="11" t="n">
        <v>0.091</v>
      </c>
      <c r="G7" s="12">
        <f>F7/1000</f>
        <v/>
      </c>
      <c r="H7" s="13">
        <f>$B$4</f>
        <v/>
      </c>
    </row>
    <row r="8">
      <c r="A8" s="10" t="n">
        <v>2</v>
      </c>
      <c r="B8" s="7" t="n"/>
      <c r="C8" s="7" t="n"/>
      <c r="D8" s="8">
        <f>IF(B8="","",A8-B8)</f>
        <v/>
      </c>
      <c r="E8" s="11" t="n">
        <v>2</v>
      </c>
      <c r="F8" s="11" t="n">
        <v>0.092</v>
      </c>
      <c r="G8" s="12">
        <f>F8/1000</f>
        <v/>
      </c>
      <c r="H8" s="13">
        <f>$B$4</f>
        <v/>
      </c>
    </row>
    <row r="9">
      <c r="A9" s="10" t="n">
        <v>3</v>
      </c>
      <c r="B9" s="7" t="n"/>
      <c r="C9" s="7" t="n"/>
      <c r="D9" s="8">
        <f>IF(B9="","",A9-B9)</f>
        <v/>
      </c>
      <c r="E9" s="11" t="n">
        <v>3</v>
      </c>
      <c r="F9" s="11" t="n">
        <v>0.093</v>
      </c>
      <c r="G9" s="12">
        <f>F9/1000</f>
        <v/>
      </c>
      <c r="H9" s="13">
        <f>$B$4</f>
        <v/>
      </c>
    </row>
    <row r="10">
      <c r="A10" s="10" t="n">
        <v>4</v>
      </c>
      <c r="B10" s="7" t="n"/>
      <c r="C10" s="7" t="n"/>
      <c r="D10" s="8">
        <f>IF(B10="","",A10-B10)</f>
        <v/>
      </c>
      <c r="E10" s="11" t="n">
        <v>4</v>
      </c>
      <c r="F10" s="11" t="n">
        <v>0.094</v>
      </c>
      <c r="G10" s="12">
        <f>F10/1000</f>
        <v/>
      </c>
      <c r="H10" s="13">
        <f>$B$4</f>
        <v/>
      </c>
    </row>
    <row r="11">
      <c r="A11" s="10" t="n">
        <v>5</v>
      </c>
      <c r="B11" s="7" t="n"/>
      <c r="C11" s="7" t="n"/>
      <c r="D11" s="8">
        <f>IF(B11="","",A11-B11)</f>
        <v/>
      </c>
      <c r="E11" s="11" t="n">
        <v>5</v>
      </c>
      <c r="F11" s="11" t="n">
        <v>0.095</v>
      </c>
      <c r="G11" s="12">
        <f>F11/1000</f>
        <v/>
      </c>
      <c r="H11" s="13">
        <f>$B$4</f>
        <v/>
      </c>
    </row>
    <row r="12">
      <c r="A12" s="10" t="n">
        <v>6</v>
      </c>
      <c r="B12" s="7" t="n"/>
      <c r="C12" s="7" t="n"/>
      <c r="D12" s="8">
        <f>IF(B12="","",A12-B12)</f>
        <v/>
      </c>
      <c r="E12" s="11" t="n">
        <v>6</v>
      </c>
      <c r="F12" s="11" t="n">
        <v>0.096</v>
      </c>
      <c r="G12" s="12">
        <f>F12/1000</f>
        <v/>
      </c>
      <c r="H12" s="13">
        <f>$B$4</f>
        <v/>
      </c>
    </row>
    <row r="13">
      <c r="A13" s="10" t="n">
        <v>7</v>
      </c>
      <c r="B13" s="7" t="n"/>
      <c r="C13" s="7" t="n"/>
      <c r="D13" s="8">
        <f>IF(B13="","",A13-B13)</f>
        <v/>
      </c>
      <c r="E13" s="11" t="n">
        <v>7</v>
      </c>
      <c r="F13" s="11" t="n">
        <v>0.097</v>
      </c>
      <c r="G13" s="12">
        <f>F13/1000</f>
        <v/>
      </c>
      <c r="H13" s="13">
        <f>$B$4</f>
        <v/>
      </c>
    </row>
    <row r="14">
      <c r="A14" s="10" t="n">
        <v>8</v>
      </c>
      <c r="B14" s="7" t="n"/>
      <c r="C14" s="7" t="n"/>
      <c r="D14" s="8">
        <f>IF(B14="","",A14-B14)</f>
        <v/>
      </c>
      <c r="E14" s="11" t="n">
        <v>8</v>
      </c>
      <c r="F14" s="11" t="n">
        <v>0.098</v>
      </c>
      <c r="G14" s="12">
        <f>F14/1000</f>
        <v/>
      </c>
      <c r="H14" s="13">
        <f>$B$4</f>
        <v/>
      </c>
    </row>
    <row r="15">
      <c r="A15" s="10" t="n">
        <v>9</v>
      </c>
      <c r="B15" s="7" t="n"/>
      <c r="C15" s="7" t="n"/>
      <c r="D15" s="8">
        <f>IF(B15="","",A15-B15)</f>
        <v/>
      </c>
      <c r="E15" s="11" t="n">
        <v>9</v>
      </c>
      <c r="F15" s="11" t="n">
        <v>0.099</v>
      </c>
      <c r="G15" s="12">
        <f>F15/1000</f>
        <v/>
      </c>
      <c r="H15" s="13">
        <f>$B$4</f>
        <v/>
      </c>
    </row>
    <row r="16">
      <c r="A16" s="10" t="n">
        <v>10</v>
      </c>
      <c r="B16" s="7" t="n"/>
      <c r="C16" s="7" t="n"/>
      <c r="D16" s="8">
        <f>IF(B16="","",A16-B16)</f>
        <v/>
      </c>
      <c r="E16" s="11" t="n">
        <v>10</v>
      </c>
      <c r="F16" s="11" t="n">
        <v>0.1</v>
      </c>
      <c r="G16" s="12">
        <f>F16/1000</f>
        <v/>
      </c>
      <c r="H16" s="13">
        <f>$B$4</f>
        <v/>
      </c>
    </row>
    <row r="17">
      <c r="A17" s="10" t="n">
        <v>11</v>
      </c>
      <c r="B17" s="7" t="n"/>
      <c r="C17" s="7" t="n"/>
      <c r="D17" s="8">
        <f>IF(B17="","",A17-B17)</f>
        <v/>
      </c>
      <c r="E17" s="11" t="n">
        <v>11</v>
      </c>
      <c r="F17" s="11" t="n">
        <v>0.101</v>
      </c>
      <c r="G17" s="12">
        <f>F17/1000</f>
        <v/>
      </c>
      <c r="H17" s="13">
        <f>$B$4</f>
        <v/>
      </c>
    </row>
    <row r="18">
      <c r="A18" s="10" t="n">
        <v>12</v>
      </c>
      <c r="B18" s="7" t="n"/>
      <c r="C18" s="7" t="n"/>
      <c r="D18" s="8">
        <f>IF(B18="","",A18-B18)</f>
        <v/>
      </c>
      <c r="E18" s="11" t="n">
        <v>12</v>
      </c>
      <c r="F18" s="11" t="n">
        <v>0.102</v>
      </c>
      <c r="G18" s="12">
        <f>F18/1000</f>
        <v/>
      </c>
      <c r="H18" s="13">
        <f>$B$4</f>
        <v/>
      </c>
    </row>
    <row r="19">
      <c r="A19" s="10" t="n">
        <v>13</v>
      </c>
      <c r="B19" s="7" t="n"/>
      <c r="C19" s="7" t="n"/>
      <c r="D19" s="8">
        <f>IF(B19="","",A19-B19)</f>
        <v/>
      </c>
      <c r="E19" s="11" t="n">
        <v>13</v>
      </c>
      <c r="F19" s="11" t="n">
        <v>0.103</v>
      </c>
      <c r="G19" s="12">
        <f>F19/1000</f>
        <v/>
      </c>
      <c r="H19" s="13">
        <f>$B$4</f>
        <v/>
      </c>
    </row>
    <row r="20">
      <c r="A20" s="10" t="n">
        <v>14</v>
      </c>
      <c r="B20" s="7" t="n"/>
      <c r="C20" s="7" t="n"/>
      <c r="D20" s="8">
        <f>IF(B20="","",A20-B20)</f>
        <v/>
      </c>
      <c r="E20" s="11" t="n">
        <v>14</v>
      </c>
      <c r="F20" s="11" t="n">
        <v>0.104</v>
      </c>
      <c r="G20" s="12">
        <f>F20/1000</f>
        <v/>
      </c>
      <c r="H20" s="13">
        <f>$B$4</f>
        <v/>
      </c>
    </row>
    <row r="21">
      <c r="A21" s="10" t="n">
        <v>15</v>
      </c>
      <c r="B21" s="7" t="n"/>
      <c r="C21" s="7" t="n"/>
      <c r="D21" s="8">
        <f>IF(B21="","",A21-B21)</f>
        <v/>
      </c>
      <c r="E21" s="11" t="n">
        <v>15</v>
      </c>
      <c r="F21" s="11" t="n">
        <v>0.105</v>
      </c>
      <c r="G21" s="12">
        <f>F21/1000</f>
        <v/>
      </c>
      <c r="H21" s="13">
        <f>$B$4</f>
        <v/>
      </c>
    </row>
    <row r="22">
      <c r="A22" s="10" t="n">
        <v>16</v>
      </c>
      <c r="B22" s="7" t="n"/>
      <c r="C22" s="7" t="n"/>
      <c r="D22" s="8">
        <f>IF(B22="","",A22-B22)</f>
        <v/>
      </c>
      <c r="E22" s="11" t="n">
        <v>16</v>
      </c>
      <c r="F22" s="11" t="n">
        <v>0.106</v>
      </c>
      <c r="G22" s="12">
        <f>F22/1000</f>
        <v/>
      </c>
      <c r="H22" s="13">
        <f>$B$4</f>
        <v/>
      </c>
    </row>
    <row r="23">
      <c r="A23" s="10" t="n">
        <v>17</v>
      </c>
      <c r="B23" s="7" t="n"/>
      <c r="C23" s="7" t="n"/>
      <c r="D23" s="8">
        <f>IF(B23="","",A23-B23)</f>
        <v/>
      </c>
      <c r="E23" s="11" t="n">
        <v>17</v>
      </c>
      <c r="F23" s="11" t="n">
        <v>0.107</v>
      </c>
      <c r="G23" s="12">
        <f>F23/1000</f>
        <v/>
      </c>
      <c r="H23" s="13">
        <f>$B$4</f>
        <v/>
      </c>
    </row>
    <row r="24">
      <c r="A24" s="10" t="n">
        <v>18</v>
      </c>
      <c r="B24" s="7" t="n"/>
      <c r="C24" s="7" t="n"/>
      <c r="D24" s="8">
        <f>IF(B24="","",A24-B24)</f>
        <v/>
      </c>
      <c r="E24" s="11" t="n">
        <v>18</v>
      </c>
      <c r="F24" s="11" t="n">
        <v>0.108</v>
      </c>
      <c r="G24" s="12">
        <f>F24/1000</f>
        <v/>
      </c>
      <c r="H24" s="13">
        <f>$B$4</f>
        <v/>
      </c>
    </row>
    <row r="25">
      <c r="A25" s="10" t="n">
        <v>19</v>
      </c>
      <c r="B25" s="7" t="n"/>
      <c r="C25" s="7" t="n"/>
      <c r="D25" s="8">
        <f>IF(B25="","",A25-B25)</f>
        <v/>
      </c>
      <c r="E25" s="11" t="n">
        <v>19</v>
      </c>
      <c r="F25" s="11" t="n">
        <v>0.109</v>
      </c>
      <c r="G25" s="12">
        <f>F25/1000</f>
        <v/>
      </c>
      <c r="H25" s="13">
        <f>$B$4</f>
        <v/>
      </c>
    </row>
    <row r="26">
      <c r="A26" s="10" t="n">
        <v>20</v>
      </c>
      <c r="B26" s="7" t="n"/>
      <c r="C26" s="7" t="n"/>
      <c r="D26" s="8">
        <f>IF(B26="","",A26-B26)</f>
        <v/>
      </c>
      <c r="E26" s="11" t="n">
        <v>20</v>
      </c>
      <c r="F26" s="11" t="n">
        <v>0.11</v>
      </c>
      <c r="G26" s="12">
        <f>F26/1000</f>
        <v/>
      </c>
      <c r="H26" s="13">
        <f>$B$4</f>
        <v/>
      </c>
    </row>
    <row r="28">
      <c r="A28" s="2" t="inlineStr">
        <is>
          <t>D 欄接近 0 代表電源加多少、二極體就吃多少，電阻上沒有壓降——逆偏接對了。實測電流若落在 0.1–2 µA，多半是電表 10 MΩ 輸入阻抗分走的，不是二極體漏電流。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6" customWidth="1" min="4" max="4"/>
    <col width="14" customWidth="1" min="5" max="5"/>
    <col width="12" customWidth="1" min="6" max="6"/>
    <col width="56" customWidth="1" min="7" max="7"/>
  </cols>
  <sheetData>
    <row r="1">
      <c r="A1" s="1" t="inlineStr">
        <is>
          <t>實驗三：半波整流器（Half-wave Rectifier）</t>
        </is>
      </c>
    </row>
    <row r="2">
      <c r="A2" s="2" t="inlineStr">
        <is>
          <t>講義第 18、20 頁：60 Hz、10 Vpp、1N4007、R = 10 kΩ、C = 1 µF</t>
        </is>
      </c>
    </row>
    <row r="4" ht="30" customHeight="1">
      <c r="A4" s="5" t="inlineStr">
        <is>
          <t>區段</t>
        </is>
      </c>
      <c r="B4" s="5" t="inlineStr">
        <is>
          <t>量測項目</t>
        </is>
      </c>
      <c r="C4" s="5" t="inlineStr">
        <is>
          <t>實測</t>
        </is>
      </c>
      <c r="D4" s="5" t="inlineStr">
        <is>
          <t>預報（LTspice）</t>
        </is>
      </c>
      <c r="E4" s="5" t="inlineStr">
        <is>
          <t>理想公式</t>
        </is>
      </c>
      <c r="F4" s="5" t="inlineStr">
        <is>
          <t>誤差 (%)</t>
        </is>
      </c>
      <c r="G4" s="5" t="inlineStr">
        <is>
          <t>說明</t>
        </is>
      </c>
    </row>
    <row r="5">
      <c r="A5" s="14" t="inlineStr">
        <is>
          <t>輸入 V_in</t>
        </is>
      </c>
      <c r="B5" s="14" t="inlineStr">
        <is>
          <t>V_peak (V)</t>
        </is>
      </c>
      <c r="C5" s="7" t="n"/>
      <c r="D5" s="11" t="n">
        <v>5</v>
      </c>
      <c r="E5" s="11" t="n">
        <v>5</v>
      </c>
      <c r="F5" s="9">
        <f>IF(OR(C5="",D5=""),"",IF(D5=0,"",(C5-D5)/D5))</f>
        <v/>
      </c>
      <c r="G5" s="15" t="inlineStr">
        <is>
          <t>示波器 CH1 的 Maximum；10 Vpp 正弦的峰值</t>
        </is>
      </c>
    </row>
    <row r="6">
      <c r="A6" s="14" t="inlineStr">
        <is>
          <t>輸入 V_in</t>
        </is>
      </c>
      <c r="B6" s="14" t="inlineStr">
        <is>
          <t>V_rms (V)</t>
        </is>
      </c>
      <c r="C6" s="7" t="n"/>
      <c r="D6" s="11" t="n">
        <v>3.536</v>
      </c>
      <c r="E6" s="11" t="n">
        <v>3.536</v>
      </c>
      <c r="F6" s="9">
        <f>IF(OR(C6="",D6=""),"",IF(D6=0,"",(C6-D6)/D6))</f>
        <v/>
      </c>
      <c r="G6" s="15" t="inlineStr">
        <is>
          <t>CH1 的 AC RMS；V_p / √2</t>
        </is>
      </c>
    </row>
    <row r="7">
      <c r="A7" s="14" t="inlineStr">
        <is>
          <t>輸出 無 C（第 18 頁）</t>
        </is>
      </c>
      <c r="B7" s="14" t="inlineStr">
        <is>
          <t>V_peak (V)</t>
        </is>
      </c>
      <c r="C7" s="7" t="n"/>
      <c r="D7" s="11" t="n">
        <v>4.442</v>
      </c>
      <c r="E7" s="11" t="n">
        <v>4.3</v>
      </c>
      <c r="F7" s="9">
        <f>IF(OR(C7="",D7=""),"",IF(D7=0,"",(C7-D7)/D7))</f>
        <v/>
      </c>
      <c r="G7" s="15" t="inlineStr">
        <is>
          <t>CH2 的 Maximum；理想 = 5 − V_D,on，用 0.7 V 估</t>
        </is>
      </c>
    </row>
    <row r="8">
      <c r="A8" s="14" t="inlineStr">
        <is>
          <t>輸出 無 C（第 18 頁）</t>
        </is>
      </c>
      <c r="B8" s="14" t="inlineStr">
        <is>
          <t>V_rms (V)</t>
        </is>
      </c>
      <c r="C8" s="7" t="n"/>
      <c r="D8" s="11" t="n">
        <v>2.158</v>
      </c>
      <c r="E8" s="11" t="n">
        <v>2.15</v>
      </c>
      <c r="F8" s="9">
        <f>IF(OR(C8="",D8=""),"",IF(D8=0,"",(C8-D8)/D8))</f>
        <v/>
      </c>
      <c r="G8" s="15" t="inlineStr">
        <is>
          <t>CH2 的 DC RMS；理想半波 V_p / 2（V_p 取理想輸出峰值 4.3 V）</t>
        </is>
      </c>
    </row>
    <row r="9">
      <c r="A9" s="14" t="inlineStr">
        <is>
          <t>輸出 無 C（第 18 頁）</t>
        </is>
      </c>
      <c r="B9" s="14" t="inlineStr">
        <is>
          <t>V_avg (V)</t>
        </is>
      </c>
      <c r="C9" s="7" t="n"/>
      <c r="D9" s="11" t="n">
        <v>1.334</v>
      </c>
      <c r="E9" s="11" t="n">
        <v>1.369</v>
      </c>
      <c r="F9" s="9">
        <f>IF(OR(C9="",D9=""),"",IF(D9=0,"",(C9-D9)/D9))</f>
        <v/>
      </c>
      <c r="G9" s="15" t="inlineStr">
        <is>
          <t>CH2 的 Average；理想半波 V_p / π</t>
        </is>
      </c>
    </row>
    <row r="10">
      <c r="A10" s="14" t="inlineStr">
        <is>
          <t>輸出 加 1 µF（第 20 頁）</t>
        </is>
      </c>
      <c r="B10" s="14" t="inlineStr">
        <is>
          <t>V_peak (V)</t>
        </is>
      </c>
      <c r="C10" s="7" t="n"/>
      <c r="D10" s="11" t="n">
        <v>4.44</v>
      </c>
      <c r="E10" s="11" t="n"/>
      <c r="F10" s="9">
        <f>IF(OR(C10="",D10=""),"",IF(D10=0,"",(C10-D10)/D10))</f>
        <v/>
      </c>
      <c r="G10" s="15" t="inlineStr">
        <is>
          <t>峰值幾乎不變，變的是谷底</t>
        </is>
      </c>
    </row>
    <row r="11">
      <c r="A11" s="14" t="inlineStr">
        <is>
          <t>輸出 加 1 µF（第 20 頁）</t>
        </is>
      </c>
      <c r="B11" s="14" t="inlineStr">
        <is>
          <t>漣波 V_R (V)</t>
        </is>
      </c>
      <c r="C11" s="7" t="n"/>
      <c r="D11" s="11" t="n">
        <v>3.222</v>
      </c>
      <c r="E11" s="11" t="n">
        <v>7.2</v>
      </c>
      <c r="F11" s="9">
        <f>IF(OR(C11="",D11=""),"",IF(D11=0,"",(C11-D11)/D11))</f>
        <v/>
      </c>
      <c r="G11" s="15" t="inlineStr">
        <is>
          <t>峰谷差。線性近似 V_p/(R·C·f) 在 1 µF 已失效，理想欄僅供對照</t>
        </is>
      </c>
    </row>
    <row r="13">
      <c r="A13" s="14" t="inlineStr">
        <is>
          <t>推算值</t>
        </is>
      </c>
      <c r="B13" s="16" t="inlineStr">
        <is>
          <t>整流效率 η = V_avg² / V_rms²</t>
        </is>
      </c>
      <c r="C13" s="9">
        <f>IF(OR(C9="",C8="",C8=0),"",C9^2/C8^2)</f>
        <v/>
      </c>
      <c r="D13" s="17" t="n">
        <v>0.3823</v>
      </c>
      <c r="E13" s="17" t="n">
        <v>0.4053</v>
      </c>
      <c r="F13" s="9">
        <f>IF(OR(C13="",D13=""),"",IF(D13=0,"",(C13-D13)/D13))</f>
        <v/>
      </c>
      <c r="G13" s="15" t="inlineStr">
        <is>
          <t>填好第 9 列的 V_avg 與第 8 列的 V_rms 就會自己算；理想半波上限 4/π² = 40.5%</t>
        </is>
      </c>
    </row>
    <row r="15">
      <c r="A15" s="2" t="inlineStr">
        <is>
          <t>預報欄來自 lab1-exp3-halfwave.raw 與 lab1-exp3-halfwave-rc.raw（1 µF 那一步）。理想欄一律以理想輸出峰值 4.3 V 代入公式，所以和預報欄有系統性的差。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6" customWidth="1" min="4" max="4"/>
    <col width="14" customWidth="1" min="5" max="5"/>
    <col width="12" customWidth="1" min="6" max="6"/>
    <col width="56" customWidth="1" min="7" max="7"/>
  </cols>
  <sheetData>
    <row r="1">
      <c r="A1" s="1" t="inlineStr">
        <is>
          <t>實驗四：全波橋式整流器與齊納穩壓（Full-wave Bridge / Zener）</t>
        </is>
      </c>
    </row>
    <row r="2">
      <c r="A2" s="2" t="inlineStr">
        <is>
          <t>講義第 25–27 頁：60 Hz、5 Vpp、四顆 1N4007、R_L = 10 kΩ、C = 1 µF</t>
        </is>
      </c>
    </row>
    <row r="4" ht="30" customHeight="1">
      <c r="A4" s="5" t="inlineStr">
        <is>
          <t>區段</t>
        </is>
      </c>
      <c r="B4" s="5" t="inlineStr">
        <is>
          <t>量測項目</t>
        </is>
      </c>
      <c r="C4" s="5" t="inlineStr">
        <is>
          <t>實測</t>
        </is>
      </c>
      <c r="D4" s="5" t="inlineStr">
        <is>
          <t>預報（LTspice）</t>
        </is>
      </c>
      <c r="E4" s="5" t="inlineStr">
        <is>
          <t>理想公式</t>
        </is>
      </c>
      <c r="F4" s="5" t="inlineStr">
        <is>
          <t>誤差 (%)</t>
        </is>
      </c>
      <c r="G4" s="5" t="inlineStr">
        <is>
          <t>說明</t>
        </is>
      </c>
    </row>
    <row r="5">
      <c r="A5" s="14" t="inlineStr">
        <is>
          <t>輸入 V_in（A–B）</t>
        </is>
      </c>
      <c r="B5" s="14" t="inlineStr">
        <is>
          <t>V_peak (V)</t>
        </is>
      </c>
      <c r="C5" s="7" t="n"/>
      <c r="D5" s="11" t="n">
        <v>2.5</v>
      </c>
      <c r="E5" s="11" t="n">
        <v>2.5</v>
      </c>
      <c r="F5" s="9">
        <f>IF(OR(C5="",D5=""),"",IF(D5=0,"",(C5-D5)/D5))</f>
        <v/>
      </c>
      <c r="G5" s="15" t="inlineStr">
        <is>
          <t>5 Vpp 正弦的峰值。接地陷阱見筆記，不能兩支探棒同時跨輸入與輸出</t>
        </is>
      </c>
    </row>
    <row r="6">
      <c r="A6" s="14" t="inlineStr">
        <is>
          <t>輸入 V_in（A–B）</t>
        </is>
      </c>
      <c r="B6" s="14" t="inlineStr">
        <is>
          <t>V_rms (V)</t>
        </is>
      </c>
      <c r="C6" s="7" t="n"/>
      <c r="D6" s="11" t="n">
        <v>1.768</v>
      </c>
      <c r="E6" s="11" t="n">
        <v>1.768</v>
      </c>
      <c r="F6" s="9">
        <f>IF(OR(C6="",D6=""),"",IF(D6=0,"",(C6-D6)/D6))</f>
        <v/>
      </c>
      <c r="G6" s="15" t="inlineStr">
        <is>
          <t>V_p / √2</t>
        </is>
      </c>
    </row>
    <row r="7">
      <c r="A7" s="14" t="inlineStr">
        <is>
          <t>輸出 無 C（第 25 頁）</t>
        </is>
      </c>
      <c r="B7" s="14" t="inlineStr">
        <is>
          <t>V_peak (V)</t>
        </is>
      </c>
      <c r="C7" s="7" t="n"/>
      <c r="D7" s="11" t="n">
        <v>1.464</v>
      </c>
      <c r="E7" s="11" t="n">
        <v>1.1</v>
      </c>
      <c r="F7" s="9">
        <f>IF(OR(C7="",D7=""),"",IF(D7=0,"",(C7-D7)/D7))</f>
        <v/>
      </c>
      <c r="G7" s="15" t="inlineStr">
        <is>
          <t>理想 = 2.5 − 2×V_D,on，用 0.7 V 估</t>
        </is>
      </c>
    </row>
    <row r="8">
      <c r="A8" s="14" t="inlineStr">
        <is>
          <t>輸出 無 C（第 25 頁）</t>
        </is>
      </c>
      <c r="B8" s="14" t="inlineStr">
        <is>
          <t>V_rms (V)</t>
        </is>
      </c>
      <c r="C8" s="7" t="n"/>
      <c r="D8" s="11" t="n">
        <v>0.914</v>
      </c>
      <c r="E8" s="11" t="n">
        <v>0.778</v>
      </c>
      <c r="F8" s="9">
        <f>IF(OR(C8="",D8=""),"",IF(D8=0,"",(C8-D8)/D8))</f>
        <v/>
      </c>
      <c r="G8" s="15" t="inlineStr">
        <is>
          <t>理想全波 V_p′ / √2（V_p′ 取理想輸出峰值 1.1 V）</t>
        </is>
      </c>
    </row>
    <row r="9">
      <c r="A9" s="14" t="inlineStr">
        <is>
          <t>輸出 無 C（第 25 頁）</t>
        </is>
      </c>
      <c r="B9" s="14" t="inlineStr">
        <is>
          <t>V_avg (V)</t>
        </is>
      </c>
      <c r="C9" s="7" t="n"/>
      <c r="D9" s="11" t="n">
        <v>0.728</v>
      </c>
      <c r="E9" s="11" t="n">
        <v>0.7</v>
      </c>
      <c r="F9" s="9">
        <f>IF(OR(C9="",D9=""),"",IF(D9=0,"",(C9-D9)/D9))</f>
        <v/>
      </c>
      <c r="G9" s="15" t="inlineStr">
        <is>
          <t>理想全波 2V_p′ / π</t>
        </is>
      </c>
    </row>
    <row r="10">
      <c r="A10" s="14" t="inlineStr">
        <is>
          <t>輸出 加 1 µF（第 26 頁）</t>
        </is>
      </c>
      <c r="B10" s="14" t="inlineStr">
        <is>
          <t>V_peak (V)</t>
        </is>
      </c>
      <c r="C10" s="7" t="n"/>
      <c r="D10" s="11" t="n">
        <v>1.445</v>
      </c>
      <c r="E10" s="11" t="n"/>
      <c r="F10" s="9">
        <f>IF(OR(C10="",D10=""),"",IF(D10=0,"",(C10-D10)/D10))</f>
        <v/>
      </c>
      <c r="G10" s="15" t="inlineStr">
        <is>
          <t>Tinkercad 跑不動這一版，波形以示波器實測為準</t>
        </is>
      </c>
    </row>
    <row r="11">
      <c r="A11" s="14" t="inlineStr">
        <is>
          <t>輸出 加 1 µF（第 26 頁）</t>
        </is>
      </c>
      <c r="B11" s="14" t="inlineStr">
        <is>
          <t>漣波 V_R (V)</t>
        </is>
      </c>
      <c r="C11" s="7" t="n"/>
      <c r="D11" s="11" t="n">
        <v>0.61</v>
      </c>
      <c r="E11" s="11" t="n">
        <v>0.917</v>
      </c>
      <c r="F11" s="9">
        <f>IF(OR(C11="",D11=""),"",IF(D11=0,"",(C11-D11)/D11))</f>
        <v/>
      </c>
      <c r="G11" s="15" t="inlineStr">
        <is>
          <t>理想 V_p′/(2·R_L·C·f)</t>
        </is>
      </c>
    </row>
    <row r="12">
      <c r="A12" s="14" t="inlineStr">
        <is>
          <t>輸出 加齊納（第 27 頁）</t>
        </is>
      </c>
      <c r="B12" s="14" t="inlineStr">
        <is>
          <t>V_peak (V)</t>
        </is>
      </c>
      <c r="C12" s="7" t="n"/>
      <c r="D12" s="11" t="n">
        <v>1.464</v>
      </c>
      <c r="E12" s="11" t="n"/>
      <c r="F12" s="9">
        <f>IF(OR(C12="",D12=""),"",IF(D12=0,"",(C12-D12)/D12))</f>
        <v/>
      </c>
      <c r="G12" s="15" t="inlineStr">
        <is>
          <t>預報 = 和沒接齊納時相同：5 Vpp 下輸出峰值只有約 1.5 V，遠低於任何常見 V_Z，齊納不會導通</t>
        </is>
      </c>
    </row>
    <row r="13">
      <c r="A13" s="14" t="inlineStr">
        <is>
          <t>輸出 加齊納（第 27 頁）</t>
        </is>
      </c>
      <c r="B13" s="14" t="inlineStr">
        <is>
          <t>V_drop (V)</t>
        </is>
      </c>
      <c r="C13" s="7" t="n"/>
      <c r="D13" s="11" t="n"/>
      <c r="E13" s="11" t="n"/>
      <c r="F13" s="9">
        <f>IF(OR(C13="",D13=""),"",IF(D13=0,"",(C13-D13)/D13))</f>
        <v/>
      </c>
      <c r="G13" s="15" t="inlineStr">
        <is>
          <t>講義要記的「V_in &lt; V_Z 期間的落差」。齊納沒導通就沒有削平，照實記錄觀察到的值</t>
        </is>
      </c>
    </row>
    <row r="15">
      <c r="A15" s="14" t="inlineStr">
        <is>
          <t>推算值</t>
        </is>
      </c>
      <c r="B15" s="16" t="inlineStr">
        <is>
          <t>整流效率 η = V_avg² / V_rms²</t>
        </is>
      </c>
      <c r="C15" s="9">
        <f>IF(OR(C9="",C8="",C8=0),"",C9^2/C8^2)</f>
        <v/>
      </c>
      <c r="D15" s="17" t="n">
        <v>0.6354</v>
      </c>
      <c r="E15" s="17" t="n">
        <v>0.8106</v>
      </c>
      <c r="F15" s="9">
        <f>IF(OR(C15="",D15=""),"",IF(D15=0,"",(C15-D15)/D15))</f>
        <v/>
      </c>
      <c r="G15" s="15" t="inlineStr">
        <is>
          <t>填好第 9 列的 V_avg 與第 8 列的 V_rms 就會自己算；理想全波上限 8/π² = 81.1%</t>
        </is>
      </c>
    </row>
    <row r="16">
      <c r="A16" s="14" t="inlineStr">
        <is>
          <t>推算值</t>
        </is>
      </c>
      <c r="B16" s="16" t="inlineStr">
        <is>
          <t>漣波比 V_R / V_p（加 1 µF）</t>
        </is>
      </c>
      <c r="C16" s="9">
        <f>IF(OR(C11="",C10="",C10=0),"",C11/C10)</f>
        <v/>
      </c>
      <c r="D16" s="17" t="n">
        <v>0.422</v>
      </c>
      <c r="E16" s="17" t="n">
        <v>0.8333</v>
      </c>
      <c r="F16" s="9">
        <f>IF(OR(C16="",D16=""),"",IF(D16=0,"",(C16-D16)/D16))</f>
        <v/>
      </c>
      <c r="G16" s="15" t="inlineStr">
        <is>
          <t>講義要記的 Ratio 欄＝第 11 列 ÷ 第 10 列；設計準則 5–10%，1 µF 遠遠不夠</t>
        </is>
      </c>
    </row>
    <row r="18">
      <c r="A18" s="2" t="inlineStr">
        <is>
          <t>預報欄來自 lab1-exp4-bridge.raw 與 lab1-exp4-bridge-rc.raw。齊納那一版的 LTspice 檔用的是講義第 24 頁的概念電路（±10 V、V_Z = 6.8 V），和第 27 頁的 5 Vpp 條件不同，所以不拿它當預報值。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2026-09-25T13:05:41Z</dcterms:created>
  <dcterms:modified xmlns:dcterms="http://purl.org/dc/terms/" xmlns:xsi="http://www.w3.org/2001/XMLSchema-instance" xsi:type="dcterms:W3CDTF">2026-09-25T13:05:41Z</dcterms:modified>
</cp:coreProperties>
</file>