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實驗一 特性曲線" sheetId="2" state="visible" r:id="rId2"/>
    <sheet xmlns:r="http://schemas.openxmlformats.org/officeDocument/2006/relationships" name="實驗二 轉移曲線" sheetId="3" state="visible" r:id="rId3"/>
    <sheet xmlns:r="http://schemas.openxmlformats.org/officeDocument/2006/relationships" name="交報告用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808080"/>
      <sz val="9"/>
    </font>
    <font>
      <name val="Arial"/>
      <b val="1"/>
    </font>
    <font>
      <name val="Arial"/>
    </font>
    <font>
      <name val="Arial"/>
      <color rgb="000000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F1F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5" fontId="4" fillId="4" borderId="1" pivotButton="0" quotePrefix="0" xfId="0"/>
    <xf numFmtId="165" fontId="4" fillId="0" borderId="1" pivotButton="0" quotePrefix="0" xfId="0"/>
    <xf numFmtId="165" fontId="5" fillId="0" borderId="1" pivotButton="0" quotePrefix="0" xfId="0"/>
    <xf numFmtId="164" fontId="4" fillId="4" borderId="1" pivotButton="0" quotePrefix="0" xfId="0"/>
    <xf numFmtId="2" fontId="4" fillId="4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I_D - V_DS 輸出特性曲線</a:t>
            </a:r>
          </a:p>
        </rich>
      </tx>
    </title>
    <plotArea>
      <scatterChart>
        <ser>
          <idx val="0"/>
          <order val="0"/>
          <tx>
            <v>實測 V_GS=0V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'實驗一 特性曲線'!$A$6:$A$10</f>
            </numRef>
          </xVal>
          <yVal>
            <numRef>
              <f>'實驗一 特性曲線'!$C$6:$C$10</f>
            </numRef>
          </yVal>
          <smooth val="0"/>
        </ser>
        <ser>
          <idx val="1"/>
          <order val="1"/>
          <tx>
            <v>LTspice V_GS=0V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'實驗一 特性曲線'!$A$6:$A$10</f>
            </numRef>
          </xVal>
          <yVal>
            <numRef>
              <f>'實驗一 特性曲線'!$D$6:$D$10</f>
            </numRef>
          </yVal>
          <smooth val="0"/>
        </ser>
        <ser>
          <idx val="2"/>
          <order val="2"/>
          <tx>
            <v>實測 V_GS=2V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'實驗一 特性曲線'!$A$6:$A$10</f>
            </numRef>
          </xVal>
          <yVal>
            <numRef>
              <f>'實驗一 特性曲線'!$F$6:$F$10</f>
            </numRef>
          </yVal>
          <smooth val="0"/>
        </ser>
        <ser>
          <idx val="3"/>
          <order val="3"/>
          <tx>
            <v>LTspice V_GS=2V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'實驗一 特性曲線'!$A$6:$A$10</f>
            </numRef>
          </xVal>
          <yVal>
            <numRef>
              <f>'實驗一 特性曲線'!$G$6:$G$10</f>
            </numRef>
          </yVal>
          <smooth val="0"/>
        </ser>
        <ser>
          <idx val="4"/>
          <order val="4"/>
          <tx>
            <v>實測 V_GS=4V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'實驗一 特性曲線'!$A$6:$A$10</f>
            </numRef>
          </xVal>
          <yVal>
            <numRef>
              <f>'實驗一 特性曲線'!$I$6:$I$10</f>
            </numRef>
          </yVal>
          <smooth val="0"/>
        </ser>
        <ser>
          <idx val="5"/>
          <order val="5"/>
          <tx>
            <v>LTspice V_GS=4V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'實驗一 特性曲線'!$A$6:$A$10</f>
            </numRef>
          </xVal>
          <yVal>
            <numRef>
              <f>'實驗一 特性曲線'!$J$6:$J$10</f>
            </numRef>
          </yVal>
          <smooth val="0"/>
        </ser>
        <ser>
          <idx val="6"/>
          <order val="6"/>
          <tx>
            <v>實測 V_GS=6V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'實驗一 特性曲線'!$A$6:$A$10</f>
            </numRef>
          </xVal>
          <yVal>
            <numRef>
              <f>'實驗一 特性曲線'!$L$6:$L$10</f>
            </numRef>
          </yVal>
          <smooth val="0"/>
        </ser>
        <ser>
          <idx val="7"/>
          <order val="7"/>
          <tx>
            <v>LTspice V_GS=6V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'實驗一 特性曲線'!$A$6:$A$10</f>
            </numRef>
          </xVal>
          <yVal>
            <numRef>
              <f>'實驗一 特性曲線'!$M$6:$M$10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V_DS 電源設定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I_D (mA)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I_D - V_GS 轉移特性曲線</a:t>
            </a:r>
          </a:p>
        </rich>
      </tx>
    </title>
    <plotArea>
      <scatterChart>
        <ser>
          <idx val="0"/>
          <order val="0"/>
          <tx>
            <v>實測 V_DS=1V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'實驗二 轉移曲線'!$A$6:$A$11</f>
            </numRef>
          </xVal>
          <yVal>
            <numRef>
              <f>'實驗二 轉移曲線'!$C$6:$C$11</f>
            </numRef>
          </yVal>
          <smooth val="0"/>
        </ser>
        <ser>
          <idx val="1"/>
          <order val="1"/>
          <tx>
            <v>LTspice V_DS=1V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'實驗二 轉移曲線'!$A$6:$A$11</f>
            </numRef>
          </xVal>
          <yVal>
            <numRef>
              <f>'實驗二 轉移曲線'!$D$6:$D$11</f>
            </numRef>
          </yVal>
          <smooth val="0"/>
        </ser>
        <ser>
          <idx val="2"/>
          <order val="2"/>
          <tx>
            <v>實測 V_DS=3V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'實驗二 轉移曲線'!$A$6:$A$11</f>
            </numRef>
          </xVal>
          <yVal>
            <numRef>
              <f>'實驗二 轉移曲線'!$F$6:$F$11</f>
            </numRef>
          </yVal>
          <smooth val="0"/>
        </ser>
        <ser>
          <idx val="3"/>
          <order val="3"/>
          <tx>
            <v>LTspice V_DS=3V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'實驗二 轉移曲線'!$A$6:$A$11</f>
            </numRef>
          </xVal>
          <yVal>
            <numRef>
              <f>'實驗二 轉移曲線'!$G$6:$G$11</f>
            </numRef>
          </yVal>
          <smooth val="0"/>
        </ser>
        <ser>
          <idx val="4"/>
          <order val="4"/>
          <tx>
            <v>實測 V_DS=5V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'實驗二 轉移曲線'!$A$6:$A$11</f>
            </numRef>
          </xVal>
          <yVal>
            <numRef>
              <f>'實驗二 轉移曲線'!$I$6:$I$11</f>
            </numRef>
          </yVal>
          <smooth val="0"/>
        </ser>
        <ser>
          <idx val="5"/>
          <order val="5"/>
          <tx>
            <v>LTspice V_DS=5V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'實驗二 轉移曲線'!$A$6:$A$11</f>
            </numRef>
          </xVal>
          <yVal>
            <numRef>
              <f>'實驗二 轉移曲線'!$J$6:$J$11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V_GS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I_D (mA)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√I_D - V_GS（加密掃描；直線段外插到 x 軸就是 V_th）</a:t>
            </a:r>
          </a:p>
        </rich>
      </tx>
    </title>
    <plotArea>
      <scatterChart>
        <ser>
          <idx val="0"/>
          <order val="0"/>
          <tx>
            <v>加密掃描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'實驗二 轉移曲線'!$A$15:$A$24</f>
            </numRef>
          </xVal>
          <yVal>
            <numRef>
              <f>'實驗二 轉移曲線'!$D$15:$D$24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V_GS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√I_D (√mA)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34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Lab 3 MOSFET 實驗　數據記錄簿</t>
        </is>
      </c>
    </row>
    <row r="2">
      <c r="A2" s="2" t="inlineStr">
        <is>
          <t>電子學實作系列第 9 週（11/7 六）．App_Lab3.pdf．當天用筆電直接填</t>
        </is>
      </c>
    </row>
    <row r="4">
      <c r="A4" s="3" t="inlineStr">
        <is>
          <t>助教公告的當天範圍</t>
        </is>
      </c>
      <c r="B4" s="4" t="inlineStr"/>
    </row>
    <row r="5">
      <c r="A5" s="4" t="inlineStr"/>
      <c r="B5" s="4" t="inlineStr">
        <is>
          <t>實驗一 I_D-V_DS：至少量一條導通的（V_GS = 2／4／6 V 擇一以上），填表並畫 I_D-V_DS 關係圖</t>
        </is>
      </c>
    </row>
    <row r="6">
      <c r="A6" s="4" t="inlineStr"/>
      <c r="B6" s="4" t="inlineStr">
        <is>
          <t>實驗二 I_D-V_GS：至少量一條導通的（V_DS = 3／5 V 擇一以上），填表並畫 I_D-V_GS 關係圖</t>
        </is>
      </c>
    </row>
    <row r="7">
      <c r="A7" s="4" t="inlineStr"/>
      <c r="B7" s="4" t="inlineStr">
        <is>
          <t>實驗三（導通電阻）、實驗四（LED 開關）、第二部分（共源級放大器）行有餘力再完成</t>
        </is>
      </c>
    </row>
    <row r="8">
      <c r="A8" s="4" t="inlineStr"/>
      <c r="B8" s="4" t="inlineStr"/>
    </row>
    <row r="9">
      <c r="A9" s="3" t="inlineStr">
        <is>
          <t>怎麼用這個檔</t>
        </is>
      </c>
      <c r="B9" s="4" t="inlineStr"/>
    </row>
    <row r="10">
      <c r="A10" s="4" t="inlineStr"/>
      <c r="B10" s="4" t="inlineStr">
        <is>
          <t>黃底 = 當天要填的格子，其他欄位是公式或 LTspice 預報值，不用動</t>
        </is>
      </c>
    </row>
    <row r="11">
      <c r="A11" s="4" t="inlineStr"/>
      <c r="B11" s="4" t="inlineStr">
        <is>
          <t>實驗一填「R1 壓降 V_R1」，I_D 欄會自動算成 V_R1 / 1 kΩ</t>
        </is>
      </c>
    </row>
    <row r="12">
      <c r="A12" s="4" t="inlineStr"/>
      <c r="B12" s="4" t="inlineStr">
        <is>
          <t>實驗二填「汲極對地電壓 V_D」，I_D 欄會自動算成 (V_DS − V_D) / 100 Ω</t>
        </is>
      </c>
    </row>
    <row r="13">
      <c r="A13" s="4" t="inlineStr"/>
      <c r="B13" s="4" t="inlineStr">
        <is>
          <t>兩張散佈圖會跟著填的格子自動長出來，收工前看一眼形狀對不對</t>
        </is>
      </c>
    </row>
    <row r="14">
      <c r="A14" s="4" t="inlineStr"/>
      <c r="B14" s="4" t="inlineStr">
        <is>
          <t>「交報告用」分頁已照講義版面排好，數字由前兩張表帶過來，直接複製貼進報告</t>
        </is>
      </c>
    </row>
    <row r="15">
      <c r="A15" s="4" t="inlineStr"/>
      <c r="B15" s="4" t="inlineStr"/>
    </row>
    <row r="16">
      <c r="A16" s="3" t="inlineStr">
        <is>
          <t>量測注意</t>
        </is>
      </c>
      <c r="B16" s="4" t="inlineStr"/>
    </row>
    <row r="17">
      <c r="A17" s="4" t="inlineStr"/>
      <c r="B17" s="4" t="inlineStr">
        <is>
          <t>實驗一的 R1 串在「源極」：電源讀數 V_GS、V_DS 都含 R1 壓降，不等於元件端點電壓</t>
        </is>
      </c>
    </row>
    <row r="18">
      <c r="A18" s="4" t="inlineStr"/>
      <c r="B18" s="4" t="inlineStr">
        <is>
          <t>實驗二的 R1 串在「汲極」、源極接地：電源讀數 V_GS 就是元件真正的 V_GS</t>
        </is>
      </c>
    </row>
    <row r="19">
      <c r="A19" s="4" t="inlineStr"/>
      <c r="B19" s="4" t="inlineStr">
        <is>
          <t>2N7000 規格書的 V_GS(th) 範圍是 0.8～3.0 V，量到 1.5 V 或 2.8 V 都算正常</t>
        </is>
      </c>
    </row>
    <row r="20">
      <c r="A20" s="4" t="inlineStr"/>
      <c r="B20" s="4" t="inlineStr">
        <is>
          <t>LTspice 預報用的是 BS170（同族替身），導通門檻與手上那顆不會完全一樣，只拿來對形狀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3" customWidth="1" min="4" max="4"/>
    <col width="13" customWidth="1" min="5" max="5"/>
    <col width="11" customWidth="1" min="6" max="6"/>
    <col width="13" customWidth="1" min="7" max="7"/>
    <col width="13" customWidth="1" min="8" max="8"/>
    <col width="11" customWidth="1" min="9" max="9"/>
    <col width="13" customWidth="1" min="10" max="10"/>
    <col width="13" customWidth="1" min="11" max="11"/>
    <col width="11" customWidth="1" min="12" max="12"/>
    <col width="13" customWidth="1" min="13" max="13"/>
  </cols>
  <sheetData>
    <row r="1">
      <c r="A1" s="1" t="inlineStr">
        <is>
          <t>實驗一　輸出特性曲線 I_D-V_DS（講義第 6–7 頁）</t>
        </is>
      </c>
    </row>
    <row r="2">
      <c r="A2" s="2" t="inlineStr">
        <is>
          <t>R1 = 1 kΩ 串在源極．填 R1 壓降，I_D 自動換算．V_GS = 0 V 那組全是 0 是正常的（截止區）</t>
        </is>
      </c>
    </row>
    <row r="4">
      <c r="A4" s="5" t="n"/>
      <c r="B4" s="6" t="inlineStr">
        <is>
          <t>V_GS = 0 V</t>
        </is>
      </c>
      <c r="C4" s="5" t="n"/>
      <c r="D4" s="5" t="n"/>
      <c r="E4" s="6" t="inlineStr">
        <is>
          <t>V_GS = 2 V</t>
        </is>
      </c>
      <c r="F4" s="5" t="n"/>
      <c r="G4" s="5" t="n"/>
      <c r="H4" s="6" t="inlineStr">
        <is>
          <t>V_GS = 4 V</t>
        </is>
      </c>
      <c r="I4" s="5" t="n"/>
      <c r="J4" s="5" t="n"/>
      <c r="K4" s="6" t="inlineStr">
        <is>
          <t>V_GS = 6 V</t>
        </is>
      </c>
      <c r="L4" s="5" t="n"/>
      <c r="M4" s="5" t="n"/>
    </row>
    <row r="5">
      <c r="A5" s="7" t="inlineStr">
        <is>
          <t>V_DS 設定 (V)</t>
        </is>
      </c>
      <c r="B5" s="7" t="inlineStr">
        <is>
          <t>V_R1 量測 (V)</t>
        </is>
      </c>
      <c r="C5" s="7" t="inlineStr">
        <is>
          <t>I_D (mA)</t>
        </is>
      </c>
      <c r="D5" s="7" t="inlineStr">
        <is>
          <t>LTspice (mA)</t>
        </is>
      </c>
      <c r="E5" s="7" t="inlineStr">
        <is>
          <t>V_R1 量測 (V)</t>
        </is>
      </c>
      <c r="F5" s="7" t="inlineStr">
        <is>
          <t>I_D (mA)</t>
        </is>
      </c>
      <c r="G5" s="7" t="inlineStr">
        <is>
          <t>LTspice (mA)</t>
        </is>
      </c>
      <c r="H5" s="7" t="inlineStr">
        <is>
          <t>V_R1 量測 (V)</t>
        </is>
      </c>
      <c r="I5" s="7" t="inlineStr">
        <is>
          <t>I_D (mA)</t>
        </is>
      </c>
      <c r="J5" s="7" t="inlineStr">
        <is>
          <t>LTspice (mA)</t>
        </is>
      </c>
      <c r="K5" s="7" t="inlineStr">
        <is>
          <t>V_R1 量測 (V)</t>
        </is>
      </c>
      <c r="L5" s="7" t="inlineStr">
        <is>
          <t>I_D (mA)</t>
        </is>
      </c>
      <c r="M5" s="7" t="inlineStr">
        <is>
          <t>LTspice (mA)</t>
        </is>
      </c>
    </row>
    <row r="6">
      <c r="A6" s="8" t="n">
        <v>1</v>
      </c>
      <c r="B6" s="9" t="inlineStr"/>
      <c r="C6" s="10">
        <f>IF(B6="","",B6/1000.0*1000)</f>
        <v/>
      </c>
      <c r="D6" s="11" t="n">
        <v>0</v>
      </c>
      <c r="E6" s="9" t="inlineStr"/>
      <c r="F6" s="10">
        <f>IF(E6="","",E6/1000.0*1000)</f>
        <v/>
      </c>
      <c r="G6" s="11" t="n">
        <v>0.0153</v>
      </c>
      <c r="H6" s="9" t="inlineStr"/>
      <c r="I6" s="10">
        <f>IF(H6="","",H6/1000.0*1000)</f>
        <v/>
      </c>
      <c r="J6" s="11" t="n">
        <v>0.9858</v>
      </c>
      <c r="K6" s="9" t="inlineStr"/>
      <c r="L6" s="10">
        <f>IF(K6="","",K6/1000.0*1000)</f>
        <v/>
      </c>
      <c r="M6" s="11" t="n">
        <v>0.9957</v>
      </c>
    </row>
    <row r="7">
      <c r="A7" s="8" t="n">
        <v>2</v>
      </c>
      <c r="B7" s="9" t="inlineStr"/>
      <c r="C7" s="10">
        <f>IF(B7="","",B7/1000.0*1000)</f>
        <v/>
      </c>
      <c r="D7" s="11" t="n">
        <v>0</v>
      </c>
      <c r="E7" s="9" t="inlineStr"/>
      <c r="F7" s="10">
        <f>IF(E7="","",E7/1000.0*1000)</f>
        <v/>
      </c>
      <c r="G7" s="11" t="n">
        <v>0.0158</v>
      </c>
      <c r="H7" s="9" t="inlineStr"/>
      <c r="I7" s="10">
        <f>IF(H7="","",H7/1000.0*1000)</f>
        <v/>
      </c>
      <c r="J7" s="11" t="n">
        <v>1.6567</v>
      </c>
      <c r="K7" s="9" t="inlineStr"/>
      <c r="L7" s="10">
        <f>IF(K7="","",K7/1000.0*1000)</f>
        <v/>
      </c>
      <c r="M7" s="11" t="n">
        <v>1.9867</v>
      </c>
    </row>
    <row r="8">
      <c r="A8" s="8" t="n">
        <v>3</v>
      </c>
      <c r="B8" s="9" t="inlineStr"/>
      <c r="C8" s="10">
        <f>IF(B8="","",B8/1000.0*1000)</f>
        <v/>
      </c>
      <c r="D8" s="11" t="n">
        <v>0</v>
      </c>
      <c r="E8" s="9" t="inlineStr"/>
      <c r="F8" s="10">
        <f>IF(E8="","",E8/1000.0*1000)</f>
        <v/>
      </c>
      <c r="G8" s="11" t="n">
        <v>0.0162</v>
      </c>
      <c r="H8" s="9" t="inlineStr"/>
      <c r="I8" s="10">
        <f>IF(H8="","",H8/1000.0*1000)</f>
        <v/>
      </c>
      <c r="J8" s="11" t="n">
        <v>1.6621</v>
      </c>
      <c r="K8" s="9" t="inlineStr"/>
      <c r="L8" s="10">
        <f>IF(K8="","",K8/1000.0*1000)</f>
        <v/>
      </c>
      <c r="M8" s="11" t="n">
        <v>2.958</v>
      </c>
    </row>
    <row r="9">
      <c r="A9" s="8" t="n">
        <v>4</v>
      </c>
      <c r="B9" s="9" t="inlineStr"/>
      <c r="C9" s="10">
        <f>IF(B9="","",B9/1000.0*1000)</f>
        <v/>
      </c>
      <c r="D9" s="11" t="n">
        <v>0</v>
      </c>
      <c r="E9" s="9" t="inlineStr"/>
      <c r="F9" s="10">
        <f>IF(E9="","",E9/1000.0*1000)</f>
        <v/>
      </c>
      <c r="G9" s="11" t="n">
        <v>0.0165</v>
      </c>
      <c r="H9" s="9" t="inlineStr"/>
      <c r="I9" s="10">
        <f>IF(H9="","",H9/1000.0*1000)</f>
        <v/>
      </c>
      <c r="J9" s="11" t="n">
        <v>1.6654</v>
      </c>
      <c r="K9" s="9" t="inlineStr"/>
      <c r="L9" s="10">
        <f>IF(K9="","",K9/1000.0*1000)</f>
        <v/>
      </c>
      <c r="M9" s="11" t="n">
        <v>3.5621</v>
      </c>
    </row>
    <row r="10">
      <c r="A10" s="8" t="n">
        <v>5</v>
      </c>
      <c r="B10" s="9" t="inlineStr"/>
      <c r="C10" s="10">
        <f>IF(B10="","",B10/1000.0*1000)</f>
        <v/>
      </c>
      <c r="D10" s="11" t="n">
        <v>0</v>
      </c>
      <c r="E10" s="9" t="inlineStr"/>
      <c r="F10" s="10">
        <f>IF(E10="","",E10/1000.0*1000)</f>
        <v/>
      </c>
      <c r="G10" s="11" t="n">
        <v>0.0168</v>
      </c>
      <c r="H10" s="9" t="inlineStr"/>
      <c r="I10" s="10">
        <f>IF(H10="","",H10/1000.0*1000)</f>
        <v/>
      </c>
      <c r="J10" s="11" t="n">
        <v>1.668</v>
      </c>
      <c r="K10" s="9" t="inlineStr"/>
      <c r="L10" s="10">
        <f>IF(K10="","",K10/1000.0*1000)</f>
        <v/>
      </c>
      <c r="M10" s="11" t="n">
        <v>3.5701</v>
      </c>
    </row>
    <row r="12">
      <c r="A12" s="2" t="inlineStr">
        <is>
          <t>助教只要求至少一條導通的（V_GS = 2／4／6 V 擇一以上）；V_GS = 0 V 那組建議還是量一次，當作「截止區電流為零」的證據。</t>
        </is>
      </c>
    </row>
    <row r="13">
      <c r="A13" s="2" t="inlineStr">
        <is>
          <t>V_GS = 6 V 在低 V_DS 時每加 1 V 電流約多 1 mA，那是 1 kΩ 的斜率、不是元件的三極管電阻。</t>
        </is>
      </c>
    </row>
  </sheetData>
  <mergeCells count="6">
    <mergeCell ref="K4:M4"/>
    <mergeCell ref="A2:N2"/>
    <mergeCell ref="B4:D4"/>
    <mergeCell ref="H4:J4"/>
    <mergeCell ref="E4:G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3" customWidth="1" min="8" max="8"/>
    <col width="11" customWidth="1" min="9" max="9"/>
    <col width="13" customWidth="1" min="10" max="10"/>
  </cols>
  <sheetData>
    <row r="1">
      <c r="A1" s="1" t="inlineStr">
        <is>
          <t>實驗二　轉移特性曲線 I_D-V_GS 與臨界電壓（講義第 8–9 頁）</t>
        </is>
      </c>
    </row>
    <row r="2">
      <c r="A2" s="2" t="inlineStr">
        <is>
          <t>R1 = 100 Ω 串在汲極、源極接地．填汲極對地電壓 V_D，I_D 自動換算成 (V_DS − V_D)/100 Ω</t>
        </is>
      </c>
    </row>
    <row r="4">
      <c r="A4" s="5" t="n"/>
      <c r="B4" s="6" t="inlineStr">
        <is>
          <t>V_DS = 1 V</t>
        </is>
      </c>
      <c r="C4" s="5" t="n"/>
      <c r="D4" s="5" t="n"/>
      <c r="E4" s="6" t="inlineStr">
        <is>
          <t>V_DS = 3 V</t>
        </is>
      </c>
      <c r="F4" s="5" t="n"/>
      <c r="G4" s="5" t="n"/>
      <c r="H4" s="6" t="inlineStr">
        <is>
          <t>V_DS = 5 V</t>
        </is>
      </c>
      <c r="I4" s="5" t="n"/>
      <c r="J4" s="5" t="n"/>
    </row>
    <row r="5">
      <c r="A5" s="7" t="inlineStr">
        <is>
          <t>V_GS 設定 (V)</t>
        </is>
      </c>
      <c r="B5" s="7" t="inlineStr">
        <is>
          <t>V_D 量測 (V)</t>
        </is>
      </c>
      <c r="C5" s="7" t="inlineStr">
        <is>
          <t>I_D (mA)</t>
        </is>
      </c>
      <c r="D5" s="7" t="inlineStr">
        <is>
          <t>LTspice (mA)</t>
        </is>
      </c>
      <c r="E5" s="7" t="inlineStr">
        <is>
          <t>V_D 量測 (V)</t>
        </is>
      </c>
      <c r="F5" s="7" t="inlineStr">
        <is>
          <t>I_D (mA)</t>
        </is>
      </c>
      <c r="G5" s="7" t="inlineStr">
        <is>
          <t>LTspice (mA)</t>
        </is>
      </c>
      <c r="H5" s="7" t="inlineStr">
        <is>
          <t>V_D 量測 (V)</t>
        </is>
      </c>
      <c r="I5" s="7" t="inlineStr">
        <is>
          <t>I_D (mA)</t>
        </is>
      </c>
      <c r="J5" s="7" t="inlineStr">
        <is>
          <t>LTspice (mA)</t>
        </is>
      </c>
    </row>
    <row r="6">
      <c r="A6" s="8" t="n">
        <v>0.5</v>
      </c>
      <c r="B6" s="9" t="inlineStr"/>
      <c r="C6" s="10">
        <f>IF(B6="","",(1.0-B6)/100.0*1000)</f>
        <v/>
      </c>
      <c r="D6" s="11" t="n">
        <v>0</v>
      </c>
      <c r="E6" s="9" t="inlineStr"/>
      <c r="F6" s="10">
        <f>IF(E6="","",(3.0-E6)/100.0*1000)</f>
        <v/>
      </c>
      <c r="G6" s="11" t="n">
        <v>0</v>
      </c>
      <c r="H6" s="9" t="inlineStr"/>
      <c r="I6" s="10">
        <f>IF(H6="","",(5.0-H6)/100.0*1000)</f>
        <v/>
      </c>
      <c r="J6" s="11" t="n">
        <v>0</v>
      </c>
    </row>
    <row r="7">
      <c r="A7" s="8" t="n">
        <v>1</v>
      </c>
      <c r="B7" s="9" t="inlineStr"/>
      <c r="C7" s="10">
        <f>IF(B7="","",(1.0-B7)/100.0*1000)</f>
        <v/>
      </c>
      <c r="D7" s="11" t="n">
        <v>0</v>
      </c>
      <c r="E7" s="9" t="inlineStr"/>
      <c r="F7" s="10">
        <f>IF(E7="","",(3.0-E7)/100.0*1000)</f>
        <v/>
      </c>
      <c r="G7" s="11" t="n">
        <v>0</v>
      </c>
      <c r="H7" s="9" t="inlineStr"/>
      <c r="I7" s="10">
        <f>IF(H7="","",(5.0-H7)/100.0*1000)</f>
        <v/>
      </c>
      <c r="J7" s="11" t="n">
        <v>0</v>
      </c>
    </row>
    <row r="8">
      <c r="A8" s="8" t="n">
        <v>2</v>
      </c>
      <c r="B8" s="9" t="inlineStr"/>
      <c r="C8" s="10">
        <f>IF(B8="","",(1.0-B8)/100.0*1000)</f>
        <v/>
      </c>
      <c r="D8" s="11" t="n">
        <v>0.0185</v>
      </c>
      <c r="E8" s="9" t="inlineStr"/>
      <c r="F8" s="10">
        <f>IF(E8="","",(3.0-E8)/100.0*1000)</f>
        <v/>
      </c>
      <c r="G8" s="11" t="n">
        <v>0.0197</v>
      </c>
      <c r="H8" s="9" t="inlineStr"/>
      <c r="I8" s="10">
        <f>IF(H8="","",(5.0-H8)/100.0*1000)</f>
        <v/>
      </c>
      <c r="J8" s="11" t="n">
        <v>0.0207</v>
      </c>
    </row>
    <row r="9">
      <c r="A9" s="8" t="n">
        <v>3</v>
      </c>
      <c r="B9" s="9" t="inlineStr"/>
      <c r="C9" s="10">
        <f>IF(B9="","",(1.0-B9)/100.0*1000)</f>
        <v/>
      </c>
      <c r="D9" s="11" t="n">
        <v>8.633100000000001</v>
      </c>
      <c r="E9" s="9" t="inlineStr"/>
      <c r="F9" s="10">
        <f>IF(E9="","",(3.0-E9)/100.0*1000)</f>
        <v/>
      </c>
      <c r="G9" s="11" t="n">
        <v>24.7749</v>
      </c>
      <c r="H9" s="9" t="inlineStr"/>
      <c r="I9" s="10">
        <f>IF(H9="","",(5.0-H9)/100.0*1000)</f>
        <v/>
      </c>
      <c r="J9" s="11" t="n">
        <v>31.346</v>
      </c>
    </row>
    <row r="10">
      <c r="A10" s="8" t="n">
        <v>4</v>
      </c>
      <c r="B10" s="9" t="inlineStr"/>
      <c r="C10" s="10">
        <f>IF(B10="","",(1.0-B10)/100.0*1000)</f>
        <v/>
      </c>
      <c r="D10" s="11" t="n">
        <v>9.3596</v>
      </c>
      <c r="E10" s="9" t="inlineStr"/>
      <c r="F10" s="10">
        <f>IF(E10="","",(3.0-E10)/100.0*1000)</f>
        <v/>
      </c>
      <c r="G10" s="11" t="n">
        <v>28.0076</v>
      </c>
      <c r="H10" s="9" t="inlineStr"/>
      <c r="I10" s="10">
        <f>IF(H10="","",(5.0-H10)/100.0*1000)</f>
        <v/>
      </c>
      <c r="J10" s="11" t="n">
        <v>46.5403</v>
      </c>
    </row>
    <row r="11">
      <c r="A11" s="8" t="n">
        <v>5</v>
      </c>
      <c r="B11" s="9" t="inlineStr"/>
      <c r="C11" s="10">
        <f>IF(B11="","",(1.0-B11)/100.0*1000)</f>
        <v/>
      </c>
      <c r="D11" s="11" t="n">
        <v>9.578200000000001</v>
      </c>
      <c r="E11" s="9" t="inlineStr"/>
      <c r="F11" s="10">
        <f>IF(E11="","",(3.0-E11)/100.0*1000)</f>
        <v/>
      </c>
      <c r="G11" s="11" t="n">
        <v>28.7152</v>
      </c>
      <c r="H11" s="9" t="inlineStr"/>
      <c r="I11" s="10">
        <f>IF(H11="","",(5.0-H11)/100.0*1000)</f>
        <v/>
      </c>
      <c r="J11" s="11" t="n">
        <v>47.8244</v>
      </c>
    </row>
    <row r="13">
      <c r="A13" s="3" t="inlineStr">
        <is>
          <t>加密掃描（找 V_th 用）</t>
        </is>
      </c>
      <c r="C13" s="2" t="inlineStr">
        <is>
          <t>選用的 V_DS (V) →</t>
        </is>
      </c>
      <c r="D13" s="12" t="inlineStr"/>
    </row>
    <row r="14">
      <c r="A14" s="7" t="inlineStr">
        <is>
          <t>V_GS 設定 (V)</t>
        </is>
      </c>
      <c r="B14" s="7" t="inlineStr">
        <is>
          <t>V_D 量測 (V)</t>
        </is>
      </c>
      <c r="C14" s="7" t="inlineStr">
        <is>
          <t>I_D (mA)</t>
        </is>
      </c>
      <c r="D14" s="7" t="inlineStr">
        <is>
          <t>√I_D</t>
        </is>
      </c>
    </row>
    <row r="15">
      <c r="A15" s="13" t="inlineStr"/>
      <c r="B15" s="9" t="inlineStr"/>
      <c r="C15" s="10">
        <f>IF(OR(A15="",B15="",$D$13=""),"",($D$13-B15)/100.0*1000)</f>
        <v/>
      </c>
      <c r="D15" s="10">
        <f>IF(C15="","",SQRT(C15))</f>
        <v/>
      </c>
    </row>
    <row r="16">
      <c r="A16" s="13" t="inlineStr"/>
      <c r="B16" s="9" t="inlineStr"/>
      <c r="C16" s="10">
        <f>IF(OR(A16="",B16="",$D$13=""),"",($D$13-B16)/100.0*1000)</f>
        <v/>
      </c>
      <c r="D16" s="10">
        <f>IF(C16="","",SQRT(C16))</f>
        <v/>
      </c>
    </row>
    <row r="17">
      <c r="A17" s="13" t="inlineStr"/>
      <c r="B17" s="9" t="inlineStr"/>
      <c r="C17" s="10">
        <f>IF(OR(A17="",B17="",$D$13=""),"",($D$13-B17)/100.0*1000)</f>
        <v/>
      </c>
      <c r="D17" s="10">
        <f>IF(C17="","",SQRT(C17))</f>
        <v/>
      </c>
    </row>
    <row r="18">
      <c r="A18" s="13" t="inlineStr"/>
      <c r="B18" s="9" t="inlineStr"/>
      <c r="C18" s="10">
        <f>IF(OR(A18="",B18="",$D$13=""),"",($D$13-B18)/100.0*1000)</f>
        <v/>
      </c>
      <c r="D18" s="10">
        <f>IF(C18="","",SQRT(C18))</f>
        <v/>
      </c>
    </row>
    <row r="19">
      <c r="A19" s="13" t="inlineStr"/>
      <c r="B19" s="9" t="inlineStr"/>
      <c r="C19" s="10">
        <f>IF(OR(A19="",B19="",$D$13=""),"",($D$13-B19)/100.0*1000)</f>
        <v/>
      </c>
      <c r="D19" s="10">
        <f>IF(C19="","",SQRT(C19))</f>
        <v/>
      </c>
    </row>
    <row r="20">
      <c r="A20" s="13" t="inlineStr"/>
      <c r="B20" s="9" t="inlineStr"/>
      <c r="C20" s="10">
        <f>IF(OR(A20="",B20="",$D$13=""),"",($D$13-B20)/100.0*1000)</f>
        <v/>
      </c>
      <c r="D20" s="10">
        <f>IF(C20="","",SQRT(C20))</f>
        <v/>
      </c>
    </row>
    <row r="21">
      <c r="A21" s="13" t="inlineStr"/>
      <c r="B21" s="9" t="inlineStr"/>
      <c r="C21" s="10">
        <f>IF(OR(A21="",B21="",$D$13=""),"",($D$13-B21)/100.0*1000)</f>
        <v/>
      </c>
      <c r="D21" s="10">
        <f>IF(C21="","",SQRT(C21))</f>
        <v/>
      </c>
    </row>
    <row r="22">
      <c r="A22" s="13" t="inlineStr"/>
      <c r="B22" s="9" t="inlineStr"/>
      <c r="C22" s="10">
        <f>IF(OR(A22="",B22="",$D$13=""),"",($D$13-B22)/100.0*1000)</f>
        <v/>
      </c>
      <c r="D22" s="10">
        <f>IF(C22="","",SQRT(C22))</f>
        <v/>
      </c>
    </row>
    <row r="23">
      <c r="A23" s="13" t="inlineStr"/>
      <c r="B23" s="9" t="inlineStr"/>
      <c r="C23" s="10">
        <f>IF(OR(A23="",B23="",$D$13=""),"",($D$13-B23)/100.0*1000)</f>
        <v/>
      </c>
      <c r="D23" s="10">
        <f>IF(C23="","",SQRT(C23))</f>
        <v/>
      </c>
    </row>
    <row r="24">
      <c r="A24" s="13" t="inlineStr"/>
      <c r="B24" s="9" t="inlineStr"/>
      <c r="C24" s="10">
        <f>IF(OR(A24="",B24="",$D$13=""),"",($D$13-B24)/100.0*1000)</f>
        <v/>
      </c>
      <c r="D24" s="10">
        <f>IF(C24="","",SQRT(C24))</f>
        <v/>
      </c>
    </row>
    <row r="25">
      <c r="A25" s="2" t="inlineStr">
        <is>
          <t>做法：先看粗掃表在哪一格之間跳起來，回到那一段用 0.1～0.2 V 一階重掃十點；√I_D 欄若呈一條直線就代表那幾點在平方律上，可以拿來外插。</t>
        </is>
      </c>
    </row>
    <row r="27">
      <c r="A27" s="3" t="inlineStr">
        <is>
          <t>臨界電壓 V_th（平方根外插）</t>
        </is>
      </c>
    </row>
    <row r="28">
      <c r="A28" s="7" t="inlineStr"/>
      <c r="B28" s="7" t="inlineStr">
        <is>
          <t>量測點 1</t>
        </is>
      </c>
      <c r="C28" s="7" t="inlineStr">
        <is>
          <t>量測點 2</t>
        </is>
      </c>
      <c r="D28" s="7" t="inlineStr">
        <is>
          <t>外插結果</t>
        </is>
      </c>
    </row>
    <row r="29">
      <c r="A29" s="14" t="inlineStr">
        <is>
          <t>V_GS (V)</t>
        </is>
      </c>
      <c r="B29" s="13" t="inlineStr"/>
      <c r="C29" s="13" t="inlineStr"/>
      <c r="D29" s="10">
        <f>IF(OR(B29="",B30="",C29="",C30=""),"",B29-(C29-B29)/(SQRT(C30)-SQRT(B30))*SQRT(B30))</f>
        <v/>
      </c>
      <c r="E29" s="3" t="inlineStr">
        <is>
          <t>← V_th (V)</t>
        </is>
      </c>
    </row>
    <row r="30">
      <c r="A30" s="14" t="inlineStr">
        <is>
          <t>I_D (mA)</t>
        </is>
      </c>
      <c r="B30" s="9" t="inlineStr"/>
      <c r="C30" s="9" t="inlineStr"/>
      <c r="D30" s="11" t="n">
        <v>2.14</v>
      </c>
      <c r="E30" s="2" t="inlineStr">
        <is>
          <t>← LTspice（BS170）的 V_to</t>
        </is>
      </c>
    </row>
    <row r="31">
      <c r="D31" s="14">
        <f>IF(D29="","",IF(OR(D29&lt;0,D29&gt;MIN(B29,C29)),"兩點取在平台上了，重挑","合理"))</f>
        <v/>
      </c>
      <c r="E31" s="2" t="inlineStr">
        <is>
          <t>← 合理性檢查</t>
        </is>
      </c>
    </row>
    <row r="32">
      <c r="A32" s="2" t="inlineStr">
        <is>
          <t>兩個點都要取自上面的加密掃描、且落在抬頭段（建議 I_D 在 1～5 mA 之間）。取到被 R1 限流的平台（I_D 接近 V_DS/100 Ω）會算出負的 V_th。</t>
        </is>
      </c>
    </row>
    <row r="33">
      <c r="A33" s="2" t="inlineStr">
        <is>
          <t>三組的平台高度約等於 V_DS / 100 Ω，那是 R1 在限流、不是元件飽和；要讀的資訊全在抬頭那一段。</t>
        </is>
      </c>
    </row>
  </sheetData>
  <mergeCells count="5">
    <mergeCell ref="A2:N2"/>
    <mergeCell ref="B4:D4"/>
    <mergeCell ref="H4:J4"/>
    <mergeCell ref="E4:G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6" customWidth="1" min="4" max="4"/>
    <col width="16" customWidth="1" min="5" max="5"/>
  </cols>
  <sheetData>
    <row r="1">
      <c r="A1" s="1" t="inlineStr">
        <is>
          <t>交報告用表格（版面照 App_Lab3.pdf 第 7 頁與第 9 頁）</t>
        </is>
      </c>
    </row>
    <row r="2">
      <c r="A2" s="2" t="inlineStr">
        <is>
          <t>數字由前兩張表帶過來；空白代表當天沒量。直接整塊複製貼進報告</t>
        </is>
      </c>
    </row>
    <row r="4">
      <c r="A4" s="3" t="inlineStr">
        <is>
          <t>1. Circuit schematic (characteristic curve, I_D-V_DS)</t>
        </is>
      </c>
    </row>
    <row r="5">
      <c r="A5" s="6" t="inlineStr">
        <is>
          <t>V_GS = 0 V</t>
        </is>
      </c>
      <c r="B5" s="5" t="n"/>
      <c r="D5" s="6" t="inlineStr">
        <is>
          <t>V_GS = 2 V</t>
        </is>
      </c>
      <c r="E5" s="5" t="n"/>
    </row>
    <row r="6">
      <c r="A6" s="7" t="inlineStr">
        <is>
          <t>V_DS (experimental setting)</t>
        </is>
      </c>
      <c r="B6" s="7" t="inlineStr">
        <is>
          <t>I_D (measure)</t>
        </is>
      </c>
      <c r="D6" s="7" t="inlineStr">
        <is>
          <t>V_DS (experimental setting)</t>
        </is>
      </c>
      <c r="E6" s="7" t="inlineStr">
        <is>
          <t>I_D (measure)</t>
        </is>
      </c>
    </row>
    <row r="7">
      <c r="A7" s="15" t="inlineStr">
        <is>
          <t>1 V</t>
        </is>
      </c>
      <c r="B7" s="15">
        <f>IF('實驗一 特性曲線'!C6="","",TEXT('實驗一 特性曲線'!C6,"0.000")&amp;" mA")</f>
        <v/>
      </c>
      <c r="D7" s="15" t="inlineStr">
        <is>
          <t>1 V</t>
        </is>
      </c>
      <c r="E7" s="15">
        <f>IF('實驗一 特性曲線'!F6="","",TEXT('實驗一 特性曲線'!F6,"0.000")&amp;" mA")</f>
        <v/>
      </c>
    </row>
    <row r="8">
      <c r="A8" s="15" t="inlineStr">
        <is>
          <t>2 V</t>
        </is>
      </c>
      <c r="B8" s="15">
        <f>IF('實驗一 特性曲線'!C7="","",TEXT('實驗一 特性曲線'!C7,"0.000")&amp;" mA")</f>
        <v/>
      </c>
      <c r="D8" s="15" t="inlineStr">
        <is>
          <t>2 V</t>
        </is>
      </c>
      <c r="E8" s="15">
        <f>IF('實驗一 特性曲線'!F7="","",TEXT('實驗一 特性曲線'!F7,"0.000")&amp;" mA")</f>
        <v/>
      </c>
    </row>
    <row r="9">
      <c r="A9" s="15" t="inlineStr">
        <is>
          <t>3 V</t>
        </is>
      </c>
      <c r="B9" s="15">
        <f>IF('實驗一 特性曲線'!C8="","",TEXT('實驗一 特性曲線'!C8,"0.000")&amp;" mA")</f>
        <v/>
      </c>
      <c r="D9" s="15" t="inlineStr">
        <is>
          <t>3 V</t>
        </is>
      </c>
      <c r="E9" s="15">
        <f>IF('實驗一 特性曲線'!F8="","",TEXT('實驗一 特性曲線'!F8,"0.000")&amp;" mA")</f>
        <v/>
      </c>
    </row>
    <row r="10">
      <c r="A10" s="15" t="inlineStr">
        <is>
          <t>4 V</t>
        </is>
      </c>
      <c r="B10" s="15">
        <f>IF('實驗一 特性曲線'!C9="","",TEXT('實驗一 特性曲線'!C9,"0.000")&amp;" mA")</f>
        <v/>
      </c>
      <c r="D10" s="15" t="inlineStr">
        <is>
          <t>4 V</t>
        </is>
      </c>
      <c r="E10" s="15">
        <f>IF('實驗一 特性曲線'!F9="","",TEXT('實驗一 特性曲線'!F9,"0.000")&amp;" mA")</f>
        <v/>
      </c>
    </row>
    <row r="11">
      <c r="A11" s="15" t="inlineStr">
        <is>
          <t>5 V</t>
        </is>
      </c>
      <c r="B11" s="15">
        <f>IF('實驗一 特性曲線'!C10="","",TEXT('實驗一 特性曲線'!C10,"0.000")&amp;" mA")</f>
        <v/>
      </c>
      <c r="D11" s="15" t="inlineStr">
        <is>
          <t>5 V</t>
        </is>
      </c>
      <c r="E11" s="15">
        <f>IF('實驗一 特性曲線'!F10="","",TEXT('實驗一 特性曲線'!F10,"0.000")&amp;" mA")</f>
        <v/>
      </c>
    </row>
    <row r="13">
      <c r="A13" s="6" t="inlineStr">
        <is>
          <t>V_GS = 4 V</t>
        </is>
      </c>
      <c r="B13" s="5" t="n"/>
      <c r="D13" s="6" t="inlineStr">
        <is>
          <t>V_GS = 6 V</t>
        </is>
      </c>
      <c r="E13" s="5" t="n"/>
    </row>
    <row r="14">
      <c r="A14" s="7" t="inlineStr">
        <is>
          <t>V_DS (experimental setting)</t>
        </is>
      </c>
      <c r="B14" s="7" t="inlineStr">
        <is>
          <t>I_D (measure)</t>
        </is>
      </c>
      <c r="D14" s="7" t="inlineStr">
        <is>
          <t>V_DS (experimental setting)</t>
        </is>
      </c>
      <c r="E14" s="7" t="inlineStr">
        <is>
          <t>I_D (measure)</t>
        </is>
      </c>
    </row>
    <row r="15">
      <c r="A15" s="15" t="inlineStr">
        <is>
          <t>1 V</t>
        </is>
      </c>
      <c r="B15" s="15">
        <f>IF('實驗一 特性曲線'!I6="","",TEXT('實驗一 特性曲線'!I6,"0.000")&amp;" mA")</f>
        <v/>
      </c>
      <c r="D15" s="15" t="inlineStr">
        <is>
          <t>1 V</t>
        </is>
      </c>
      <c r="E15" s="15">
        <f>IF('實驗一 特性曲線'!L6="","",TEXT('實驗一 特性曲線'!L6,"0.000")&amp;" mA")</f>
        <v/>
      </c>
    </row>
    <row r="16">
      <c r="A16" s="15" t="inlineStr">
        <is>
          <t>2 V</t>
        </is>
      </c>
      <c r="B16" s="15">
        <f>IF('實驗一 特性曲線'!I7="","",TEXT('實驗一 特性曲線'!I7,"0.000")&amp;" mA")</f>
        <v/>
      </c>
      <c r="D16" s="15" t="inlineStr">
        <is>
          <t>2 V</t>
        </is>
      </c>
      <c r="E16" s="15">
        <f>IF('實驗一 特性曲線'!L7="","",TEXT('實驗一 特性曲線'!L7,"0.000")&amp;" mA")</f>
        <v/>
      </c>
    </row>
    <row r="17">
      <c r="A17" s="15" t="inlineStr">
        <is>
          <t>3 V</t>
        </is>
      </c>
      <c r="B17" s="15">
        <f>IF('實驗一 特性曲線'!I8="","",TEXT('實驗一 特性曲線'!I8,"0.000")&amp;" mA")</f>
        <v/>
      </c>
      <c r="D17" s="15" t="inlineStr">
        <is>
          <t>3 V</t>
        </is>
      </c>
      <c r="E17" s="15">
        <f>IF('實驗一 特性曲線'!L8="","",TEXT('實驗一 特性曲線'!L8,"0.000")&amp;" mA")</f>
        <v/>
      </c>
    </row>
    <row r="18">
      <c r="A18" s="15" t="inlineStr">
        <is>
          <t>4 V</t>
        </is>
      </c>
      <c r="B18" s="15">
        <f>IF('實驗一 特性曲線'!I9="","",TEXT('實驗一 特性曲線'!I9,"0.000")&amp;" mA")</f>
        <v/>
      </c>
      <c r="D18" s="15" t="inlineStr">
        <is>
          <t>4 V</t>
        </is>
      </c>
      <c r="E18" s="15">
        <f>IF('實驗一 特性曲線'!L9="","",TEXT('實驗一 特性曲線'!L9,"0.000")&amp;" mA")</f>
        <v/>
      </c>
    </row>
    <row r="19">
      <c r="A19" s="15" t="inlineStr">
        <is>
          <t>5 V</t>
        </is>
      </c>
      <c r="B19" s="15">
        <f>IF('實驗一 特性曲線'!I10="","",TEXT('實驗一 特性曲線'!I10,"0.000")&amp;" mA")</f>
        <v/>
      </c>
      <c r="D19" s="15" t="inlineStr">
        <is>
          <t>5 V</t>
        </is>
      </c>
      <c r="E19" s="15">
        <f>IF('實驗一 特性曲線'!L10="","",TEXT('實驗一 特性曲線'!L10,"0.000")&amp;" mA")</f>
        <v/>
      </c>
    </row>
    <row r="22">
      <c r="A22" s="3" t="inlineStr">
        <is>
          <t>2. Circuit schematic (transfer curve, I_D-V_GS)</t>
        </is>
      </c>
    </row>
    <row r="23">
      <c r="A23" s="6" t="inlineStr">
        <is>
          <t>V_DS = 1 V</t>
        </is>
      </c>
      <c r="B23" s="5" t="n"/>
    </row>
    <row r="24">
      <c r="A24" s="7" t="inlineStr">
        <is>
          <t>V_GS (experimental setting)</t>
        </is>
      </c>
      <c r="B24" s="7" t="inlineStr">
        <is>
          <t>I_D (measure)</t>
        </is>
      </c>
    </row>
    <row r="25">
      <c r="A25" s="15" t="inlineStr">
        <is>
          <t>0.5 V</t>
        </is>
      </c>
      <c r="B25" s="15">
        <f>IF('實驗二 轉移曲線'!C6="","",TEXT('實驗二 轉移曲線'!C6,"0.000")&amp;" mA")</f>
        <v/>
      </c>
    </row>
    <row r="26">
      <c r="A26" s="15" t="inlineStr">
        <is>
          <t>1 V</t>
        </is>
      </c>
      <c r="B26" s="15">
        <f>IF('實驗二 轉移曲線'!C7="","",TEXT('實驗二 轉移曲線'!C7,"0.000")&amp;" mA")</f>
        <v/>
      </c>
    </row>
    <row r="27">
      <c r="A27" s="15" t="inlineStr">
        <is>
          <t>2 V</t>
        </is>
      </c>
      <c r="B27" s="15">
        <f>IF('實驗二 轉移曲線'!C8="","",TEXT('實驗二 轉移曲線'!C8,"0.000")&amp;" mA")</f>
        <v/>
      </c>
    </row>
    <row r="28">
      <c r="A28" s="15" t="inlineStr">
        <is>
          <t>3 V</t>
        </is>
      </c>
      <c r="B28" s="15">
        <f>IF('實驗二 轉移曲線'!C9="","",TEXT('實驗二 轉移曲線'!C9,"0.000")&amp;" mA")</f>
        <v/>
      </c>
    </row>
    <row r="29">
      <c r="A29" s="15" t="inlineStr">
        <is>
          <t>4 V</t>
        </is>
      </c>
      <c r="B29" s="15">
        <f>IF('實驗二 轉移曲線'!C10="","",TEXT('實驗二 轉移曲線'!C10,"0.000")&amp;" mA")</f>
        <v/>
      </c>
    </row>
    <row r="30">
      <c r="A30" s="15" t="inlineStr">
        <is>
          <t>5 V</t>
        </is>
      </c>
      <c r="B30" s="15">
        <f>IF('實驗二 轉移曲線'!C11="","",TEXT('實驗二 轉移曲線'!C11,"0.000")&amp;" mA")</f>
        <v/>
      </c>
    </row>
    <row r="32">
      <c r="A32" s="6" t="inlineStr">
        <is>
          <t>V_DS = 3 V</t>
        </is>
      </c>
      <c r="B32" s="5" t="n"/>
    </row>
    <row r="33">
      <c r="A33" s="7" t="inlineStr">
        <is>
          <t>V_GS (experimental setting)</t>
        </is>
      </c>
      <c r="B33" s="7" t="inlineStr">
        <is>
          <t>I_D (measure)</t>
        </is>
      </c>
    </row>
    <row r="34">
      <c r="A34" s="15" t="inlineStr">
        <is>
          <t>0.5 V</t>
        </is>
      </c>
      <c r="B34" s="15">
        <f>IF('實驗二 轉移曲線'!F6="","",TEXT('實驗二 轉移曲線'!F6,"0.000")&amp;" mA")</f>
        <v/>
      </c>
    </row>
    <row r="35">
      <c r="A35" s="15" t="inlineStr">
        <is>
          <t>1 V</t>
        </is>
      </c>
      <c r="B35" s="15">
        <f>IF('實驗二 轉移曲線'!F7="","",TEXT('實驗二 轉移曲線'!F7,"0.000")&amp;" mA")</f>
        <v/>
      </c>
    </row>
    <row r="36">
      <c r="A36" s="15" t="inlineStr">
        <is>
          <t>2 V</t>
        </is>
      </c>
      <c r="B36" s="15">
        <f>IF('實驗二 轉移曲線'!F8="","",TEXT('實驗二 轉移曲線'!F8,"0.000")&amp;" mA")</f>
        <v/>
      </c>
    </row>
    <row r="37">
      <c r="A37" s="15" t="inlineStr">
        <is>
          <t>3 V</t>
        </is>
      </c>
      <c r="B37" s="15">
        <f>IF('實驗二 轉移曲線'!F9="","",TEXT('實驗二 轉移曲線'!F9,"0.000")&amp;" mA")</f>
        <v/>
      </c>
    </row>
    <row r="38">
      <c r="A38" s="15" t="inlineStr">
        <is>
          <t>4 V</t>
        </is>
      </c>
      <c r="B38" s="15">
        <f>IF('實驗二 轉移曲線'!F10="","",TEXT('實驗二 轉移曲線'!F10,"0.000")&amp;" mA")</f>
        <v/>
      </c>
    </row>
    <row r="39">
      <c r="A39" s="15" t="inlineStr">
        <is>
          <t>5 V</t>
        </is>
      </c>
      <c r="B39" s="15">
        <f>IF('實驗二 轉移曲線'!F11="","",TEXT('實驗二 轉移曲線'!F11,"0.000")&amp;" mA")</f>
        <v/>
      </c>
    </row>
    <row r="41">
      <c r="A41" s="6" t="inlineStr">
        <is>
          <t>V_DS = 5 V</t>
        </is>
      </c>
      <c r="B41" s="5" t="n"/>
    </row>
    <row r="42">
      <c r="A42" s="7" t="inlineStr">
        <is>
          <t>V_GS (experimental setting)</t>
        </is>
      </c>
      <c r="B42" s="7" t="inlineStr">
        <is>
          <t>I_D (measure)</t>
        </is>
      </c>
    </row>
    <row r="43">
      <c r="A43" s="15" t="inlineStr">
        <is>
          <t>0.5 V</t>
        </is>
      </c>
      <c r="B43" s="15">
        <f>IF('實驗二 轉移曲線'!I6="","",TEXT('實驗二 轉移曲線'!I6,"0.000")&amp;" mA")</f>
        <v/>
      </c>
    </row>
    <row r="44">
      <c r="A44" s="15" t="inlineStr">
        <is>
          <t>1 V</t>
        </is>
      </c>
      <c r="B44" s="15">
        <f>IF('實驗二 轉移曲線'!I7="","",TEXT('實驗二 轉移曲線'!I7,"0.000")&amp;" mA")</f>
        <v/>
      </c>
    </row>
    <row r="45">
      <c r="A45" s="15" t="inlineStr">
        <is>
          <t>2 V</t>
        </is>
      </c>
      <c r="B45" s="15">
        <f>IF('實驗二 轉移曲線'!I8="","",TEXT('實驗二 轉移曲線'!I8,"0.000")&amp;" mA")</f>
        <v/>
      </c>
    </row>
    <row r="46">
      <c r="A46" s="15" t="inlineStr">
        <is>
          <t>3 V</t>
        </is>
      </c>
      <c r="B46" s="15">
        <f>IF('實驗二 轉移曲線'!I9="","",TEXT('實驗二 轉移曲線'!I9,"0.000")&amp;" mA")</f>
        <v/>
      </c>
    </row>
    <row r="47">
      <c r="A47" s="15" t="inlineStr">
        <is>
          <t>4 V</t>
        </is>
      </c>
      <c r="B47" s="15">
        <f>IF('實驗二 轉移曲線'!I10="","",TEXT('實驗二 轉移曲線'!I10,"0.000")&amp;" mA")</f>
        <v/>
      </c>
    </row>
    <row r="48">
      <c r="A48" s="15" t="inlineStr">
        <is>
          <t>5 V</t>
        </is>
      </c>
      <c r="B48" s="15">
        <f>IF('實驗二 轉移曲線'!I11="","",TEXT('實驗二 轉移曲線'!I11,"0.000")&amp;" mA")</f>
        <v/>
      </c>
    </row>
  </sheetData>
  <mergeCells count="9">
    <mergeCell ref="A41:B41"/>
    <mergeCell ref="D13:E13"/>
    <mergeCell ref="A2:H2"/>
    <mergeCell ref="D5:E5"/>
    <mergeCell ref="A5:B5"/>
    <mergeCell ref="A23:B23"/>
    <mergeCell ref="A32:B32"/>
    <mergeCell ref="A13:B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2026-10-31T06:18:34Z</dcterms:created>
  <dcterms:modified xmlns:dcterms="http://purl.org/dc/terms/" xmlns:xsi="http://www.w3.org/2001/XMLSchema-instance" xsi:type="dcterms:W3CDTF">2026-10-31T06:18:34Z</dcterms:modified>
</cp:coreProperties>
</file>