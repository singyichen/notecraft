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說明" sheetId="1" state="visible" r:id="rId1"/>
    <sheet xmlns:r="http://schemas.openxmlformats.org/officeDocument/2006/relationships" name="實驗一 特性曲線" sheetId="2" state="visible" r:id="rId2"/>
    <sheet xmlns:r="http://schemas.openxmlformats.org/officeDocument/2006/relationships" name="實驗二 轉移曲線" sheetId="3" state="visible" r:id="rId3"/>
    <sheet xmlns:r="http://schemas.openxmlformats.org/officeDocument/2006/relationships" name="交報告用" sheetId="4" state="visible" r:id="rId4"/>
  </sheets>
  <definedNames/>
  <calcPr calcId="124519" calcMode="auto" fullCalcOnLoad="1" forceFullCalc="1"/>
</workbook>
</file>

<file path=xl/styles.xml><?xml version="1.0" encoding="utf-8"?>
<styleSheet xmlns="http://schemas.openxmlformats.org/spreadsheetml/2006/main">
  <numFmts count="2">
    <numFmt numFmtId="164" formatCode="0.0"/>
    <numFmt numFmtId="165" formatCode="0.000"/>
  </numFmts>
  <fonts count="6">
    <font>
      <name val="Calibri"/>
      <family val="2"/>
      <color theme="1"/>
      <sz val="11"/>
      <scheme val="minor"/>
    </font>
    <font>
      <name val="Arial"/>
      <b val="1"/>
      <sz val="14"/>
    </font>
    <font>
      <name val="Arial"/>
      <color rgb="00808080"/>
      <sz val="9"/>
    </font>
    <font>
      <name val="Arial"/>
      <b val="1"/>
    </font>
    <font>
      <name val="Arial"/>
    </font>
    <font>
      <name val="Arial"/>
      <color rgb="000000FF"/>
    </font>
  </fonts>
  <fills count="5">
    <fill>
      <patternFill/>
    </fill>
    <fill>
      <patternFill patternType="gray125"/>
    </fill>
    <fill>
      <patternFill patternType="solid">
        <fgColor rgb="00D9E2F3"/>
      </patternFill>
    </fill>
    <fill>
      <patternFill patternType="solid">
        <fgColor rgb="00EDF1F9"/>
      </patternFill>
    </fill>
    <fill>
      <patternFill patternType="solid">
        <fgColor rgb="00FFF2CC"/>
      </patternFill>
    </fill>
  </fills>
  <borders count="6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>
      <left/>
      <right/>
      <top style="thin">
        <color rgb="00BFBFBF"/>
      </top>
      <bottom/>
      <diagonal/>
    </border>
    <border>
      <left/>
      <right style="thin">
        <color rgb="00BFBFBF"/>
      </right>
      <top style="thin">
        <color rgb="00BFBFBF"/>
      </top>
      <bottom/>
      <diagonal/>
    </border>
    <border>
      <left/>
      <right/>
      <top style="thin">
        <color rgb="00BFBFBF"/>
      </top>
      <bottom style="thin">
        <color rgb="00BFBFBF"/>
      </bottom>
      <diagonal/>
    </border>
    <border>
      <left/>
      <right style="thin">
        <color rgb="00BFBFBF"/>
      </right>
      <top style="thin">
        <color rgb="00BFBFBF"/>
      </top>
      <bottom style="thin">
        <color rgb="00BFBFBF"/>
      </bottom>
      <diagonal/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1" fontId="5" fillId="0" borderId="1" pivotButton="0" quotePrefix="0" xfId="0"/>
    <xf numFmtId="0" fontId="0" fillId="0" borderId="1" pivotButton="0" quotePrefix="0" xfId="0"/>
    <xf numFmtId="0" fontId="3" fillId="3" borderId="1" applyAlignment="1" pivotButton="0" quotePrefix="0" xfId="0">
      <alignment horizontal="center" vertical="center"/>
    </xf>
    <xf numFmtId="0" fontId="3" fillId="2" borderId="1" applyAlignment="1" pivotButton="0" quotePrefix="0" xfId="0">
      <alignment horizontal="center" vertical="center" wrapText="1"/>
    </xf>
    <xf numFmtId="164" fontId="4" fillId="0" borderId="1" applyAlignment="1" pivotButton="0" quotePrefix="0" xfId="0">
      <alignment horizontal="center" vertical="center"/>
    </xf>
    <xf numFmtId="165" fontId="4" fillId="4" borderId="1" pivotButton="0" quotePrefix="0" xfId="0"/>
    <xf numFmtId="165" fontId="4" fillId="0" borderId="1" pivotButton="0" quotePrefix="0" xfId="0"/>
    <xf numFmtId="165" fontId="5" fillId="0" borderId="1" pivotButton="0" quotePrefix="0" xfId="0"/>
    <xf numFmtId="164" fontId="4" fillId="4" borderId="1" pivotButton="0" quotePrefix="0" xfId="0"/>
    <xf numFmtId="2" fontId="4" fillId="4" borderId="1" pivotButton="0" quotePrefix="0" xfId="0"/>
    <xf numFmtId="0" fontId="4" fillId="0" borderId="1" pivotButton="0" quotePrefix="0" xfId="0"/>
    <xf numFmtId="0" fontId="4" fillId="0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charts/chart1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I_D - V_DS 輸出特性曲線</a:t>
            </a:r>
          </a:p>
        </rich>
      </tx>
    </title>
    <plotArea>
      <scatterChart>
        <ser>
          <idx val="0"/>
          <order val="0"/>
          <tx>
            <v>實測 V_GS=0V</v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7"/>
            <spPr>
              <a:solidFill xmlns:a="http://schemas.openxmlformats.org/drawingml/2006/main">
                <a:srgbClr val="1F4E79"/>
              </a:solidFill>
              <a:ln xmlns:a="http://schemas.openxmlformats.org/drawingml/2006/main">
                <a:solidFill>
                  <a:srgbClr val="1F4E79"/>
                </a:solidFill>
                <a:prstDash val="solid"/>
              </a:ln>
            </spPr>
          </marker>
          <xVal>
            <numRef>
              <f>'實驗一 特性曲線'!$A$8:$A$12</f>
            </numRef>
          </xVal>
          <yVal>
            <numRef>
              <f>'實驗一 特性曲線'!$C$8:$C$12</f>
            </numRef>
          </yVal>
          <smooth val="0"/>
        </ser>
        <ser>
          <idx val="1"/>
          <order val="1"/>
          <tx>
            <v>LTspice V_GS=0V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'實驗一 特性曲線'!$A$8:$A$12</f>
            </numRef>
          </xVal>
          <yVal>
            <numRef>
              <f>'實驗一 特性曲線'!$F$8:$F$12</f>
            </numRef>
          </yVal>
          <smooth val="0"/>
        </ser>
        <ser>
          <idx val="2"/>
          <order val="2"/>
          <tx>
            <v>實測 V_GS=2V</v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7"/>
            <spPr>
              <a:solidFill xmlns:a="http://schemas.openxmlformats.org/drawingml/2006/main">
                <a:srgbClr val="1F4E79"/>
              </a:solidFill>
              <a:ln xmlns:a="http://schemas.openxmlformats.org/drawingml/2006/main">
                <a:solidFill>
                  <a:srgbClr val="1F4E79"/>
                </a:solidFill>
                <a:prstDash val="solid"/>
              </a:ln>
            </spPr>
          </marker>
          <xVal>
            <numRef>
              <f>'實驗一 特性曲線'!$A$8:$A$12</f>
            </numRef>
          </xVal>
          <yVal>
            <numRef>
              <f>'實驗一 特性曲線'!$H$8:$H$12</f>
            </numRef>
          </yVal>
          <smooth val="0"/>
        </ser>
        <ser>
          <idx val="3"/>
          <order val="3"/>
          <tx>
            <v>LTspice V_GS=2V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'實驗一 特性曲線'!$A$8:$A$12</f>
            </numRef>
          </xVal>
          <yVal>
            <numRef>
              <f>'實驗一 特性曲線'!$K$8:$K$12</f>
            </numRef>
          </yVal>
          <smooth val="0"/>
        </ser>
        <ser>
          <idx val="4"/>
          <order val="4"/>
          <tx>
            <v>實測 V_GS=4V</v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7"/>
            <spPr>
              <a:solidFill xmlns:a="http://schemas.openxmlformats.org/drawingml/2006/main">
                <a:srgbClr val="1F4E79"/>
              </a:solidFill>
              <a:ln xmlns:a="http://schemas.openxmlformats.org/drawingml/2006/main">
                <a:solidFill>
                  <a:srgbClr val="1F4E79"/>
                </a:solidFill>
                <a:prstDash val="solid"/>
              </a:ln>
            </spPr>
          </marker>
          <xVal>
            <numRef>
              <f>'實驗一 特性曲線'!$A$8:$A$12</f>
            </numRef>
          </xVal>
          <yVal>
            <numRef>
              <f>'實驗一 特性曲線'!$M$8:$M$12</f>
            </numRef>
          </yVal>
          <smooth val="0"/>
        </ser>
        <ser>
          <idx val="5"/>
          <order val="5"/>
          <tx>
            <v>LTspice V_GS=4V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'實驗一 特性曲線'!$A$8:$A$12</f>
            </numRef>
          </xVal>
          <yVal>
            <numRef>
              <f>'實驗一 特性曲線'!$P$8:$P$12</f>
            </numRef>
          </yVal>
          <smooth val="0"/>
        </ser>
        <ser>
          <idx val="6"/>
          <order val="6"/>
          <tx>
            <v>實測 V_GS=6V</v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7"/>
            <spPr>
              <a:solidFill xmlns:a="http://schemas.openxmlformats.org/drawingml/2006/main">
                <a:srgbClr val="1F4E79"/>
              </a:solidFill>
              <a:ln xmlns:a="http://schemas.openxmlformats.org/drawingml/2006/main">
                <a:solidFill>
                  <a:srgbClr val="1F4E79"/>
                </a:solidFill>
                <a:prstDash val="solid"/>
              </a:ln>
            </spPr>
          </marker>
          <xVal>
            <numRef>
              <f>'實驗一 特性曲線'!$A$8:$A$12</f>
            </numRef>
          </xVal>
          <yVal>
            <numRef>
              <f>'實驗一 特性曲線'!$R$8:$R$12</f>
            </numRef>
          </yVal>
          <smooth val="0"/>
        </ser>
        <ser>
          <idx val="7"/>
          <order val="7"/>
          <tx>
            <v>LTspice V_GS=6V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'實驗一 特性曲線'!$A$8:$A$12</f>
            </numRef>
          </xVal>
          <yVal>
            <numRef>
              <f>'實驗一 特性曲線'!$U$8:$U$12</f>
            </numRef>
          </yVal>
          <smooth val="0"/>
        </ser>
        <axId val="10"/>
        <axId val="20"/>
      </scatterChart>
      <valAx>
        <axId val="1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V_DS 電源設定 (V)</a:t>
                </a:r>
              </a:p>
            </rich>
          </tx>
        </title>
        <majorTickMark val="none"/>
        <minorTickMark val="none"/>
        <crossAx val="20"/>
      </valAx>
      <valAx>
        <axId val="2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I_D (mA)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I_D - V_GS 轉移特性曲線</a:t>
            </a:r>
          </a:p>
        </rich>
      </tx>
    </title>
    <plotArea>
      <scatterChart>
        <ser>
          <idx val="0"/>
          <order val="0"/>
          <tx>
            <v>實測 V_DS=1V</v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7"/>
            <spPr>
              <a:solidFill xmlns:a="http://schemas.openxmlformats.org/drawingml/2006/main">
                <a:srgbClr val="1F4E79"/>
              </a:solidFill>
              <a:ln xmlns:a="http://schemas.openxmlformats.org/drawingml/2006/main">
                <a:solidFill>
                  <a:srgbClr val="1F4E79"/>
                </a:solidFill>
                <a:prstDash val="solid"/>
              </a:ln>
            </spPr>
          </marker>
          <xVal>
            <numRef>
              <f>'實驗二 轉移曲線'!$A$8:$A$13</f>
            </numRef>
          </xVal>
          <yVal>
            <numRef>
              <f>'實驗二 轉移曲線'!$D$8:$D$13</f>
            </numRef>
          </yVal>
          <smooth val="0"/>
        </ser>
        <ser>
          <idx val="1"/>
          <order val="1"/>
          <tx>
            <v>LTspice V_DS=1V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'實驗二 轉移曲線'!$A$8:$A$13</f>
            </numRef>
          </xVal>
          <yVal>
            <numRef>
              <f>'實驗二 轉移曲線'!$E$8:$E$13</f>
            </numRef>
          </yVal>
          <smooth val="0"/>
        </ser>
        <ser>
          <idx val="2"/>
          <order val="2"/>
          <tx>
            <v>實測 V_DS=3V</v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7"/>
            <spPr>
              <a:solidFill xmlns:a="http://schemas.openxmlformats.org/drawingml/2006/main">
                <a:srgbClr val="1F4E79"/>
              </a:solidFill>
              <a:ln xmlns:a="http://schemas.openxmlformats.org/drawingml/2006/main">
                <a:solidFill>
                  <a:srgbClr val="1F4E79"/>
                </a:solidFill>
                <a:prstDash val="solid"/>
              </a:ln>
            </spPr>
          </marker>
          <xVal>
            <numRef>
              <f>'實驗二 轉移曲線'!$A$8:$A$13</f>
            </numRef>
          </xVal>
          <yVal>
            <numRef>
              <f>'實驗二 轉移曲線'!$H$8:$H$13</f>
            </numRef>
          </yVal>
          <smooth val="0"/>
        </ser>
        <ser>
          <idx val="3"/>
          <order val="3"/>
          <tx>
            <v>LTspice V_DS=3V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'實驗二 轉移曲線'!$A$8:$A$13</f>
            </numRef>
          </xVal>
          <yVal>
            <numRef>
              <f>'實驗二 轉移曲線'!$I$8:$I$13</f>
            </numRef>
          </yVal>
          <smooth val="0"/>
        </ser>
        <ser>
          <idx val="4"/>
          <order val="4"/>
          <tx>
            <v>實測 V_DS=5V</v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7"/>
            <spPr>
              <a:solidFill xmlns:a="http://schemas.openxmlformats.org/drawingml/2006/main">
                <a:srgbClr val="1F4E79"/>
              </a:solidFill>
              <a:ln xmlns:a="http://schemas.openxmlformats.org/drawingml/2006/main">
                <a:solidFill>
                  <a:srgbClr val="1F4E79"/>
                </a:solidFill>
                <a:prstDash val="solid"/>
              </a:ln>
            </spPr>
          </marker>
          <xVal>
            <numRef>
              <f>'實驗二 轉移曲線'!$A$8:$A$13</f>
            </numRef>
          </xVal>
          <yVal>
            <numRef>
              <f>'實驗二 轉移曲線'!$L$8:$L$13</f>
            </numRef>
          </yVal>
          <smooth val="0"/>
        </ser>
        <ser>
          <idx val="5"/>
          <order val="5"/>
          <tx>
            <v>LTspice V_DS=5V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'實驗二 轉移曲線'!$A$8:$A$13</f>
            </numRef>
          </xVal>
          <yVal>
            <numRef>
              <f>'實驗二 轉移曲線'!$M$8:$M$13</f>
            </numRef>
          </yVal>
          <smooth val="0"/>
        </ser>
        <axId val="10"/>
        <axId val="20"/>
      </scatterChart>
      <valAx>
        <axId val="1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V_GS (V)</a:t>
                </a:r>
              </a:p>
            </rich>
          </tx>
        </title>
        <majorTickMark val="none"/>
        <minorTickMark val="none"/>
        <crossAx val="20"/>
      </valAx>
      <valAx>
        <axId val="2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I_D (mA)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√I_D - V_GS（加密掃描；直線段外插到 x 軸就是 V_th）</a:t>
            </a:r>
          </a:p>
        </rich>
      </tx>
    </title>
    <plotArea>
      <scatterChart>
        <ser>
          <idx val="0"/>
          <order val="0"/>
          <tx>
            <v>加密掃描</v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7"/>
            <spPr>
              <a:solidFill xmlns:a="http://schemas.openxmlformats.org/drawingml/2006/main">
                <a:srgbClr val="1F4E79"/>
              </a:solidFill>
              <a:ln xmlns:a="http://schemas.openxmlformats.org/drawingml/2006/main">
                <a:solidFill>
                  <a:srgbClr val="1F4E79"/>
                </a:solidFill>
                <a:prstDash val="solid"/>
              </a:ln>
            </spPr>
          </marker>
          <xVal>
            <numRef>
              <f>'實驗二 轉移曲線'!$A$20:$A$29</f>
            </numRef>
          </xVal>
          <yVal>
            <numRef>
              <f>'實驗二 轉移曲線'!$D$20:$D$29</f>
            </numRef>
          </yVal>
          <smooth val="0"/>
        </ser>
        <axId val="10"/>
        <axId val="20"/>
      </scatterChart>
      <valAx>
        <axId val="1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V_GS (V)</a:t>
                </a:r>
              </a:p>
            </rich>
          </tx>
        </title>
        <majorTickMark val="none"/>
        <minorTickMark val="none"/>
        <crossAx val="20"/>
      </valAx>
      <valAx>
        <axId val="2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√I_D (√mA)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/><Relationship Type="http://schemas.openxmlformats.org/officeDocument/2006/relationships/chart" Target="/xl/charts/chart3.xml" Id="rId2"/></Relationships>
</file>

<file path=xl/drawings/drawing1.xml><?xml version="1.0" encoding="utf-8"?>
<wsDr xmlns="http://schemas.openxmlformats.org/drawingml/2006/spreadsheetDrawing">
  <oneCellAnchor>
    <from>
      <col>0</col>
      <colOff>0</colOff>
      <row>18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2.xml><?xml version="1.0" encoding="utf-8"?>
<wsDr xmlns="http://schemas.openxmlformats.org/drawingml/2006/spreadsheetDrawing">
  <oneCellAnchor>
    <from>
      <col>0</col>
      <colOff>0</colOff>
      <row>39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11</col>
      <colOff>0</colOff>
      <row>39</row>
      <rowOff>0</rowOff>
    </from>
    <ext cx="6480000" cy="324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20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96" customWidth="1" min="2" max="2"/>
  </cols>
  <sheetData>
    <row r="1">
      <c r="A1" s="1" t="inlineStr">
        <is>
          <t>Lab 3 MOSFET 實驗　數據記錄簿</t>
        </is>
      </c>
    </row>
    <row r="2">
      <c r="A2" s="2" t="inlineStr">
        <is>
          <t>電子學實作系列第 9 週（11/7 六）．App_Lab3.pdf．當天用筆電直接填</t>
        </is>
      </c>
    </row>
    <row r="4">
      <c r="A4" s="3" t="inlineStr">
        <is>
          <t>助教公告的當天範圍</t>
        </is>
      </c>
      <c r="B4" s="4" t="inlineStr"/>
    </row>
    <row r="5">
      <c r="A5" s="4" t="inlineStr"/>
      <c r="B5" s="4" t="inlineStr">
        <is>
          <t>實驗一 I_D-V_DS：至少量一條導通的（V_GS = 2／4／6 V 擇一以上），填表並畫 I_D-V_DS 關係圖</t>
        </is>
      </c>
    </row>
    <row r="6">
      <c r="A6" s="4" t="inlineStr"/>
      <c r="B6" s="4" t="inlineStr">
        <is>
          <t>實驗二 I_D-V_GS：至少量一條導通的（V_DS = 3／5 V 擇一以上），填表並畫 I_D-V_GS 關係圖</t>
        </is>
      </c>
    </row>
    <row r="7">
      <c r="A7" s="4" t="inlineStr"/>
      <c r="B7" s="4" t="inlineStr">
        <is>
          <t>實驗三（導通電阻）、實驗四（LED 開關）、第二部分（共源級放大器）行有餘力再完成</t>
        </is>
      </c>
    </row>
    <row r="8">
      <c r="A8" s="4" t="inlineStr"/>
      <c r="B8" s="4" t="inlineStr"/>
    </row>
    <row r="9">
      <c r="A9" s="3" t="inlineStr">
        <is>
          <t>怎麼用這個檔</t>
        </is>
      </c>
      <c r="B9" s="4" t="inlineStr"/>
    </row>
    <row r="10">
      <c r="A10" s="4" t="inlineStr"/>
      <c r="B10" s="4" t="inlineStr">
        <is>
          <t>黃底 = 當天要填的格子，其他欄位是公式或 LTspice 預報值，不用動</t>
        </is>
      </c>
    </row>
    <row r="11">
      <c r="A11" s="4" t="inlineStr"/>
      <c r="B11" s="4" t="inlineStr">
        <is>
          <t>實驗一填「R1 壓降 V_R1」，I_D 欄會自動算成 V_R1 / 1 kΩ</t>
        </is>
      </c>
    </row>
    <row r="12">
      <c r="A12" s="4" t="inlineStr"/>
      <c r="B12" s="4" t="inlineStr">
        <is>
          <t>實驗二填「汲極對地電壓 V_D」，I_D 欄會自動算成 (V_DS − V_D) / 100 Ω</t>
        </is>
      </c>
    </row>
    <row r="13">
      <c r="A13" s="4" t="inlineStr"/>
      <c r="B13" s="4" t="inlineStr">
        <is>
          <t>兩張散佈圖會跟著填的格子自動長出來，收工前看一眼形狀對不對</t>
        </is>
      </c>
    </row>
    <row r="14">
      <c r="A14" s="4" t="inlineStr"/>
      <c r="B14" s="4" t="inlineStr">
        <is>
          <t>「交報告用」分頁已照講義版面排好，數字由前兩張表帶過來，直接複製貼進報告</t>
        </is>
      </c>
    </row>
    <row r="15">
      <c r="A15" s="4" t="inlineStr"/>
      <c r="B15" s="4" t="inlineStr"/>
    </row>
    <row r="16">
      <c r="A16" s="3" t="inlineStr">
        <is>
          <t>量測注意</t>
        </is>
      </c>
      <c r="B16" s="4" t="inlineStr"/>
    </row>
    <row r="17">
      <c r="A17" s="4" t="inlineStr"/>
      <c r="B17" s="4" t="inlineStr">
        <is>
          <t>實驗一的 R1 串在「源極」：電源讀數 V_GS、V_DS 都含 R1 壓降，不等於元件端點電壓</t>
        </is>
      </c>
    </row>
    <row r="18">
      <c r="A18" s="4" t="inlineStr"/>
      <c r="B18" s="4" t="inlineStr">
        <is>
          <t>實驗二的 R1 串在「汲極」、源極接地：電源讀數 V_GS 就是元件真正的 V_GS</t>
        </is>
      </c>
    </row>
    <row r="19">
      <c r="A19" s="4" t="inlineStr"/>
      <c r="B19" s="4" t="inlineStr">
        <is>
          <t>2N7000 規格書的 V_GS(th) 範圍是 0.8～3.0 V，量到 1.5 V 或 2.8 V 都算正常</t>
        </is>
      </c>
    </row>
    <row r="20">
      <c r="A20" s="4" t="inlineStr"/>
      <c r="B20" s="4" t="inlineStr">
        <is>
          <t>LTspice 預報用的是 BS170（同族替身），導通門檻與手上那顆不會完全一樣，只拿來對形狀</t>
        </is>
      </c>
    </row>
  </sheetData>
  <mergeCells count="2">
    <mergeCell ref="A2:F2"/>
    <mergeCell ref="A1:F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U17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3" customWidth="1" min="2" max="2"/>
    <col width="15" customWidth="1" min="3" max="3"/>
    <col width="13" customWidth="1" min="4" max="4"/>
    <col width="13" customWidth="1" min="5" max="5"/>
    <col width="15" customWidth="1" min="6" max="6"/>
    <col width="13" customWidth="1" min="7" max="7"/>
    <col width="15" customWidth="1" min="8" max="8"/>
    <col width="13" customWidth="1" min="9" max="9"/>
    <col width="13" customWidth="1" min="10" max="10"/>
    <col width="15" customWidth="1" min="11" max="11"/>
    <col width="13" customWidth="1" min="12" max="12"/>
    <col width="15" customWidth="1" min="13" max="13"/>
    <col width="13" customWidth="1" min="14" max="14"/>
    <col width="13" customWidth="1" min="15" max="15"/>
    <col width="15" customWidth="1" min="16" max="16"/>
    <col width="13" customWidth="1" min="17" max="17"/>
    <col width="15" customWidth="1" min="18" max="18"/>
    <col width="13" customWidth="1" min="19" max="19"/>
    <col width="13" customWidth="1" min="20" max="20"/>
    <col width="15" customWidth="1" min="21" max="21"/>
  </cols>
  <sheetData>
    <row r="1">
      <c r="A1" s="1" t="inlineStr">
        <is>
          <t>實驗一　輸出特性曲線 I_D-V_DS（講義第 6–7 頁）</t>
        </is>
      </c>
    </row>
    <row r="2">
      <c r="A2" s="2" t="inlineStr">
        <is>
          <t>R1 = 1 kΩ 串在源極．填 R1 壓降，I_D 自動換算．V_GS = 0 V 那組全是 0 是正常的（截止區）</t>
        </is>
      </c>
    </row>
    <row r="4">
      <c r="A4" s="3" t="inlineStr">
        <is>
          <t>源極取樣電阻 R1 (Ω)</t>
        </is>
      </c>
      <c r="B4" s="5" t="n">
        <v>1000</v>
      </c>
      <c r="C4" s="2" t="inlineStr">
        <is>
          <t>← 講義指定 1 kΩ；改這一格，所有 I_D 與元件電壓欄會跟著變</t>
        </is>
      </c>
    </row>
    <row r="6">
      <c r="A6" s="6" t="n"/>
      <c r="B6" s="7" t="inlineStr">
        <is>
          <t>V_GS 設定 = 0 V</t>
        </is>
      </c>
      <c r="C6" s="6" t="n"/>
      <c r="D6" s="6" t="n"/>
      <c r="E6" s="6" t="n"/>
      <c r="F6" s="6" t="n"/>
      <c r="G6" s="7" t="inlineStr">
        <is>
          <t>V_GS 設定 = 2 V</t>
        </is>
      </c>
      <c r="H6" s="6" t="n"/>
      <c r="I6" s="6" t="n"/>
      <c r="J6" s="6" t="n"/>
      <c r="K6" s="6" t="n"/>
      <c r="L6" s="7" t="inlineStr">
        <is>
          <t>V_GS 設定 = 4 V</t>
        </is>
      </c>
      <c r="M6" s="6" t="n"/>
      <c r="N6" s="6" t="n"/>
      <c r="O6" s="6" t="n"/>
      <c r="P6" s="6" t="n"/>
      <c r="Q6" s="7" t="inlineStr">
        <is>
          <t>V_GS 設定 = 6 V</t>
        </is>
      </c>
      <c r="R6" s="6" t="n"/>
      <c r="S6" s="6" t="n"/>
      <c r="T6" s="6" t="n"/>
      <c r="U6" s="6" t="n"/>
    </row>
    <row r="7">
      <c r="A7" s="8" t="inlineStr">
        <is>
          <t>V_DS 設定 (V)</t>
        </is>
      </c>
      <c r="B7" s="8" t="inlineStr">
        <is>
          <t>實測 V_R1 (V)</t>
        </is>
      </c>
      <c r="C7" s="8" t="inlineStr">
        <is>
          <t>I_D = V_R1/R1 (mA)</t>
        </is>
      </c>
      <c r="D7" s="8" t="inlineStr">
        <is>
          <t>V_GS 元件 (V)</t>
        </is>
      </c>
      <c r="E7" s="8" t="inlineStr">
        <is>
          <t>V_DS 元件 (V)</t>
        </is>
      </c>
      <c r="F7" s="8" t="inlineStr">
        <is>
          <t>LTspice I_D (mA)</t>
        </is>
      </c>
      <c r="G7" s="8" t="inlineStr">
        <is>
          <t>實測 V_R1 (V)</t>
        </is>
      </c>
      <c r="H7" s="8" t="inlineStr">
        <is>
          <t>I_D = V_R1/R1 (mA)</t>
        </is>
      </c>
      <c r="I7" s="8" t="inlineStr">
        <is>
          <t>V_GS 元件 (V)</t>
        </is>
      </c>
      <c r="J7" s="8" t="inlineStr">
        <is>
          <t>V_DS 元件 (V)</t>
        </is>
      </c>
      <c r="K7" s="8" t="inlineStr">
        <is>
          <t>LTspice I_D (mA)</t>
        </is>
      </c>
      <c r="L7" s="8" t="inlineStr">
        <is>
          <t>實測 V_R1 (V)</t>
        </is>
      </c>
      <c r="M7" s="8" t="inlineStr">
        <is>
          <t>I_D = V_R1/R1 (mA)</t>
        </is>
      </c>
      <c r="N7" s="8" t="inlineStr">
        <is>
          <t>V_GS 元件 (V)</t>
        </is>
      </c>
      <c r="O7" s="8" t="inlineStr">
        <is>
          <t>V_DS 元件 (V)</t>
        </is>
      </c>
      <c r="P7" s="8" t="inlineStr">
        <is>
          <t>LTspice I_D (mA)</t>
        </is>
      </c>
      <c r="Q7" s="8" t="inlineStr">
        <is>
          <t>實測 V_R1 (V)</t>
        </is>
      </c>
      <c r="R7" s="8" t="inlineStr">
        <is>
          <t>I_D = V_R1/R1 (mA)</t>
        </is>
      </c>
      <c r="S7" s="8" t="inlineStr">
        <is>
          <t>V_GS 元件 (V)</t>
        </is>
      </c>
      <c r="T7" s="8" t="inlineStr">
        <is>
          <t>V_DS 元件 (V)</t>
        </is>
      </c>
      <c r="U7" s="8" t="inlineStr">
        <is>
          <t>LTspice I_D (mA)</t>
        </is>
      </c>
    </row>
    <row r="8">
      <c r="A8" s="9" t="n">
        <v>1</v>
      </c>
      <c r="B8" s="10" t="inlineStr"/>
      <c r="C8" s="11">
        <f>IF(B8="","",B8/$B$4*1000)</f>
        <v/>
      </c>
      <c r="D8" s="11">
        <f>IF(B8="","",0.0-B8)</f>
        <v/>
      </c>
      <c r="E8" s="11">
        <f>IF(B8="","",$A8-B8)</f>
        <v/>
      </c>
      <c r="F8" s="12" t="n">
        <v>0</v>
      </c>
      <c r="G8" s="10" t="inlineStr"/>
      <c r="H8" s="11">
        <f>IF(G8="","",G8/$B$4*1000)</f>
        <v/>
      </c>
      <c r="I8" s="11">
        <f>IF(G8="","",2.0-G8)</f>
        <v/>
      </c>
      <c r="J8" s="11">
        <f>IF(G8="","",$A8-G8)</f>
        <v/>
      </c>
      <c r="K8" s="12" t="n">
        <v>0.0153</v>
      </c>
      <c r="L8" s="10" t="inlineStr"/>
      <c r="M8" s="11">
        <f>IF(L8="","",L8/$B$4*1000)</f>
        <v/>
      </c>
      <c r="N8" s="11">
        <f>IF(L8="","",4.0-L8)</f>
        <v/>
      </c>
      <c r="O8" s="11">
        <f>IF(L8="","",$A8-L8)</f>
        <v/>
      </c>
      <c r="P8" s="12" t="n">
        <v>0.9858</v>
      </c>
      <c r="Q8" s="10" t="inlineStr"/>
      <c r="R8" s="11">
        <f>IF(Q8="","",Q8/$B$4*1000)</f>
        <v/>
      </c>
      <c r="S8" s="11">
        <f>IF(Q8="","",6.0-Q8)</f>
        <v/>
      </c>
      <c r="T8" s="11">
        <f>IF(Q8="","",$A8-Q8)</f>
        <v/>
      </c>
      <c r="U8" s="12" t="n">
        <v>0.9957</v>
      </c>
    </row>
    <row r="9">
      <c r="A9" s="9" t="n">
        <v>2</v>
      </c>
      <c r="B9" s="10" t="inlineStr"/>
      <c r="C9" s="11">
        <f>IF(B9="","",B9/$B$4*1000)</f>
        <v/>
      </c>
      <c r="D9" s="11">
        <f>IF(B9="","",0.0-B9)</f>
        <v/>
      </c>
      <c r="E9" s="11">
        <f>IF(B9="","",$A9-B9)</f>
        <v/>
      </c>
      <c r="F9" s="12" t="n">
        <v>0</v>
      </c>
      <c r="G9" s="10" t="inlineStr"/>
      <c r="H9" s="11">
        <f>IF(G9="","",G9/$B$4*1000)</f>
        <v/>
      </c>
      <c r="I9" s="11">
        <f>IF(G9="","",2.0-G9)</f>
        <v/>
      </c>
      <c r="J9" s="11">
        <f>IF(G9="","",$A9-G9)</f>
        <v/>
      </c>
      <c r="K9" s="12" t="n">
        <v>0.0158</v>
      </c>
      <c r="L9" s="10" t="inlineStr"/>
      <c r="M9" s="11">
        <f>IF(L9="","",L9/$B$4*1000)</f>
        <v/>
      </c>
      <c r="N9" s="11">
        <f>IF(L9="","",4.0-L9)</f>
        <v/>
      </c>
      <c r="O9" s="11">
        <f>IF(L9="","",$A9-L9)</f>
        <v/>
      </c>
      <c r="P9" s="12" t="n">
        <v>1.6567</v>
      </c>
      <c r="Q9" s="10" t="inlineStr"/>
      <c r="R9" s="11">
        <f>IF(Q9="","",Q9/$B$4*1000)</f>
        <v/>
      </c>
      <c r="S9" s="11">
        <f>IF(Q9="","",6.0-Q9)</f>
        <v/>
      </c>
      <c r="T9" s="11">
        <f>IF(Q9="","",$A9-Q9)</f>
        <v/>
      </c>
      <c r="U9" s="12" t="n">
        <v>1.9867</v>
      </c>
    </row>
    <row r="10">
      <c r="A10" s="9" t="n">
        <v>3</v>
      </c>
      <c r="B10" s="10" t="inlineStr"/>
      <c r="C10" s="11">
        <f>IF(B10="","",B10/$B$4*1000)</f>
        <v/>
      </c>
      <c r="D10" s="11">
        <f>IF(B10="","",0.0-B10)</f>
        <v/>
      </c>
      <c r="E10" s="11">
        <f>IF(B10="","",$A10-B10)</f>
        <v/>
      </c>
      <c r="F10" s="12" t="n">
        <v>0</v>
      </c>
      <c r="G10" s="10" t="inlineStr"/>
      <c r="H10" s="11">
        <f>IF(G10="","",G10/$B$4*1000)</f>
        <v/>
      </c>
      <c r="I10" s="11">
        <f>IF(G10="","",2.0-G10)</f>
        <v/>
      </c>
      <c r="J10" s="11">
        <f>IF(G10="","",$A10-G10)</f>
        <v/>
      </c>
      <c r="K10" s="12" t="n">
        <v>0.0162</v>
      </c>
      <c r="L10" s="10" t="inlineStr"/>
      <c r="M10" s="11">
        <f>IF(L10="","",L10/$B$4*1000)</f>
        <v/>
      </c>
      <c r="N10" s="11">
        <f>IF(L10="","",4.0-L10)</f>
        <v/>
      </c>
      <c r="O10" s="11">
        <f>IF(L10="","",$A10-L10)</f>
        <v/>
      </c>
      <c r="P10" s="12" t="n">
        <v>1.6621</v>
      </c>
      <c r="Q10" s="10" t="inlineStr"/>
      <c r="R10" s="11">
        <f>IF(Q10="","",Q10/$B$4*1000)</f>
        <v/>
      </c>
      <c r="S10" s="11">
        <f>IF(Q10="","",6.0-Q10)</f>
        <v/>
      </c>
      <c r="T10" s="11">
        <f>IF(Q10="","",$A10-Q10)</f>
        <v/>
      </c>
      <c r="U10" s="12" t="n">
        <v>2.958</v>
      </c>
    </row>
    <row r="11">
      <c r="A11" s="9" t="n">
        <v>4</v>
      </c>
      <c r="B11" s="10" t="inlineStr"/>
      <c r="C11" s="11">
        <f>IF(B11="","",B11/$B$4*1000)</f>
        <v/>
      </c>
      <c r="D11" s="11">
        <f>IF(B11="","",0.0-B11)</f>
        <v/>
      </c>
      <c r="E11" s="11">
        <f>IF(B11="","",$A11-B11)</f>
        <v/>
      </c>
      <c r="F11" s="12" t="n">
        <v>0</v>
      </c>
      <c r="G11" s="10" t="inlineStr"/>
      <c r="H11" s="11">
        <f>IF(G11="","",G11/$B$4*1000)</f>
        <v/>
      </c>
      <c r="I11" s="11">
        <f>IF(G11="","",2.0-G11)</f>
        <v/>
      </c>
      <c r="J11" s="11">
        <f>IF(G11="","",$A11-G11)</f>
        <v/>
      </c>
      <c r="K11" s="12" t="n">
        <v>0.0165</v>
      </c>
      <c r="L11" s="10" t="inlineStr"/>
      <c r="M11" s="11">
        <f>IF(L11="","",L11/$B$4*1000)</f>
        <v/>
      </c>
      <c r="N11" s="11">
        <f>IF(L11="","",4.0-L11)</f>
        <v/>
      </c>
      <c r="O11" s="11">
        <f>IF(L11="","",$A11-L11)</f>
        <v/>
      </c>
      <c r="P11" s="12" t="n">
        <v>1.6654</v>
      </c>
      <c r="Q11" s="10" t="inlineStr"/>
      <c r="R11" s="11">
        <f>IF(Q11="","",Q11/$B$4*1000)</f>
        <v/>
      </c>
      <c r="S11" s="11">
        <f>IF(Q11="","",6.0-Q11)</f>
        <v/>
      </c>
      <c r="T11" s="11">
        <f>IF(Q11="","",$A11-Q11)</f>
        <v/>
      </c>
      <c r="U11" s="12" t="n">
        <v>3.5621</v>
      </c>
    </row>
    <row r="12">
      <c r="A12" s="9" t="n">
        <v>5</v>
      </c>
      <c r="B12" s="10" t="inlineStr"/>
      <c r="C12" s="11">
        <f>IF(B12="","",B12/$B$4*1000)</f>
        <v/>
      </c>
      <c r="D12" s="11">
        <f>IF(B12="","",0.0-B12)</f>
        <v/>
      </c>
      <c r="E12" s="11">
        <f>IF(B12="","",$A12-B12)</f>
        <v/>
      </c>
      <c r="F12" s="12" t="n">
        <v>0</v>
      </c>
      <c r="G12" s="10" t="inlineStr"/>
      <c r="H12" s="11">
        <f>IF(G12="","",G12/$B$4*1000)</f>
        <v/>
      </c>
      <c r="I12" s="11">
        <f>IF(G12="","",2.0-G12)</f>
        <v/>
      </c>
      <c r="J12" s="11">
        <f>IF(G12="","",$A12-G12)</f>
        <v/>
      </c>
      <c r="K12" s="12" t="n">
        <v>0.0168</v>
      </c>
      <c r="L12" s="10" t="inlineStr"/>
      <c r="M12" s="11">
        <f>IF(L12="","",L12/$B$4*1000)</f>
        <v/>
      </c>
      <c r="N12" s="11">
        <f>IF(L12="","",4.0-L12)</f>
        <v/>
      </c>
      <c r="O12" s="11">
        <f>IF(L12="","",$A12-L12)</f>
        <v/>
      </c>
      <c r="P12" s="12" t="n">
        <v>1.668</v>
      </c>
      <c r="Q12" s="10" t="inlineStr"/>
      <c r="R12" s="11">
        <f>IF(Q12="","",Q12/$B$4*1000)</f>
        <v/>
      </c>
      <c r="S12" s="11">
        <f>IF(Q12="","",6.0-Q12)</f>
        <v/>
      </c>
      <c r="T12" s="11">
        <f>IF(Q12="","",$A12-Q12)</f>
        <v/>
      </c>
      <c r="U12" s="12" t="n">
        <v>3.5701</v>
      </c>
    </row>
    <row r="14">
      <c r="A14" s="2" t="inlineStr">
        <is>
          <t>助教只要求至少一條導通的（V_GS = 2／4／6 V 擇一以上）；V_GS = 0 V 那組建議還是量一次，當作「截止區電流為零」的證據。</t>
        </is>
      </c>
    </row>
    <row r="15">
      <c r="A15" s="2" t="inlineStr">
        <is>
          <t>V_GS = 6 V 在低 V_DS 時每加 1 V 電流約多 1 mA，那是 1 kΩ 的斜率、不是元件的三極管電阻。</t>
        </is>
      </c>
    </row>
    <row r="16">
      <c r="A16" s="2" t="inlineStr">
        <is>
          <t>只要量 R1 的壓降這一個電壓就夠：汲極直接接在 CH2 上，V_D 必定等於電源設定值，所以元件真正的 V_GS 與 V_DS 都可以由 V_R1 減出來（右邊兩欄已自動算好）。</t>
        </is>
      </c>
    </row>
    <row r="17">
      <c r="A17" s="2" t="inlineStr">
        <is>
          <t>報告要畫「元件端」的特性曲線時，橫軸用 V_DS 元件 那一欄，不是最左邊的電源設定值。</t>
        </is>
      </c>
    </row>
  </sheetData>
  <mergeCells count="6">
    <mergeCell ref="B6:F6"/>
    <mergeCell ref="L6:P6"/>
    <mergeCell ref="A2:N2"/>
    <mergeCell ref="Q6:U6"/>
    <mergeCell ref="G6:K6"/>
    <mergeCell ref="A1:N1"/>
  </mergeCells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38"/>
  <sheetViews>
    <sheetView showGridLines="0" workbookViewId="0">
      <selection activeCell="A1" sqref="A1"/>
    </sheetView>
  </sheetViews>
  <sheetFormatPr baseColWidth="8" defaultRowHeight="15"/>
  <cols>
    <col width="16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2" customWidth="1" min="8" max="8"/>
    <col width="13" customWidth="1" min="9" max="9"/>
    <col width="13" customWidth="1" min="10" max="10"/>
    <col width="13" customWidth="1" min="11" max="11"/>
    <col width="12" customWidth="1" min="12" max="12"/>
    <col width="13" customWidth="1" min="13" max="13"/>
  </cols>
  <sheetData>
    <row r="1">
      <c r="A1" s="1" t="inlineStr">
        <is>
          <t>實驗二　轉移特性曲線 I_D-V_GS 與臨界電壓（講義第 8–9 頁）</t>
        </is>
      </c>
    </row>
    <row r="2">
      <c r="A2" s="2" t="inlineStr">
        <is>
          <t>R1 = 100 Ω 串在汲極、源極接地．填汲極對地電壓 V_D，I_D 自動換算成 (V_DS − V_D)/100 Ω</t>
        </is>
      </c>
    </row>
    <row r="4">
      <c r="A4" s="3" t="inlineStr">
        <is>
          <t>汲極取樣電阻 R1 (Ω)</t>
        </is>
      </c>
      <c r="B4" s="5" t="n">
        <v>100</v>
      </c>
      <c r="C4" s="2" t="inlineStr">
        <is>
          <t>← 講義指定 100 Ω；改這一格，所有 I_D 換算欄會跟著變</t>
        </is>
      </c>
    </row>
    <row r="6">
      <c r="A6" s="6" t="n"/>
      <c r="B6" s="7" t="inlineStr">
        <is>
          <t>V_DS 設定 = 1 V</t>
        </is>
      </c>
      <c r="C6" s="6" t="n"/>
      <c r="D6" s="6" t="n"/>
      <c r="E6" s="6" t="n"/>
      <c r="F6" s="7" t="inlineStr">
        <is>
          <t>V_DS 設定 = 3 V</t>
        </is>
      </c>
      <c r="G6" s="6" t="n"/>
      <c r="H6" s="6" t="n"/>
      <c r="I6" s="6" t="n"/>
      <c r="J6" s="7" t="inlineStr">
        <is>
          <t>V_DS 設定 = 5 V</t>
        </is>
      </c>
      <c r="K6" s="6" t="n"/>
      <c r="L6" s="6" t="n"/>
      <c r="M6" s="6" t="n"/>
    </row>
    <row r="7">
      <c r="A7" s="8" t="inlineStr">
        <is>
          <t>V_GS 設定 (V)</t>
        </is>
      </c>
      <c r="B7" s="8" t="inlineStr">
        <is>
          <t>實測 V_D (V)</t>
        </is>
      </c>
      <c r="C7" s="8" t="inlineStr">
        <is>
          <t>實測 V_R1 (V)</t>
        </is>
      </c>
      <c r="D7" s="8" t="inlineStr">
        <is>
          <t>I_D (mA)</t>
        </is>
      </c>
      <c r="E7" s="8" t="inlineStr">
        <is>
          <t>LTspice (mA)</t>
        </is>
      </c>
      <c r="F7" s="8" t="inlineStr">
        <is>
          <t>實測 V_D (V)</t>
        </is>
      </c>
      <c r="G7" s="8" t="inlineStr">
        <is>
          <t>實測 V_R1 (V)</t>
        </is>
      </c>
      <c r="H7" s="8" t="inlineStr">
        <is>
          <t>I_D (mA)</t>
        </is>
      </c>
      <c r="I7" s="8" t="inlineStr">
        <is>
          <t>LTspice (mA)</t>
        </is>
      </c>
      <c r="J7" s="8" t="inlineStr">
        <is>
          <t>實測 V_D (V)</t>
        </is>
      </c>
      <c r="K7" s="8" t="inlineStr">
        <is>
          <t>實測 V_R1 (V)</t>
        </is>
      </c>
      <c r="L7" s="8" t="inlineStr">
        <is>
          <t>I_D (mA)</t>
        </is>
      </c>
      <c r="M7" s="8" t="inlineStr">
        <is>
          <t>LTspice (mA)</t>
        </is>
      </c>
    </row>
    <row r="8">
      <c r="A8" s="9" t="n">
        <v>0.5</v>
      </c>
      <c r="B8" s="10" t="inlineStr"/>
      <c r="C8" s="10" t="inlineStr"/>
      <c r="D8" s="11">
        <f>IF(C8&lt;&gt;"",C8/$B$4*1000,IF(B8&lt;&gt;"",(1.0-B8)/$B$4*1000,""))</f>
        <v/>
      </c>
      <c r="E8" s="12" t="n">
        <v>0</v>
      </c>
      <c r="F8" s="10" t="inlineStr"/>
      <c r="G8" s="10" t="inlineStr"/>
      <c r="H8" s="11">
        <f>IF(G8&lt;&gt;"",G8/$B$4*1000,IF(F8&lt;&gt;"",(3.0-F8)/$B$4*1000,""))</f>
        <v/>
      </c>
      <c r="I8" s="12" t="n">
        <v>0</v>
      </c>
      <c r="J8" s="10" t="inlineStr"/>
      <c r="K8" s="10" t="inlineStr"/>
      <c r="L8" s="11">
        <f>IF(K8&lt;&gt;"",K8/$B$4*1000,IF(J8&lt;&gt;"",(5.0-J8)/$B$4*1000,""))</f>
        <v/>
      </c>
      <c r="M8" s="12" t="n">
        <v>0</v>
      </c>
    </row>
    <row r="9">
      <c r="A9" s="9" t="n">
        <v>1</v>
      </c>
      <c r="B9" s="10" t="inlineStr"/>
      <c r="C9" s="10" t="inlineStr"/>
      <c r="D9" s="11">
        <f>IF(C9&lt;&gt;"",C9/$B$4*1000,IF(B9&lt;&gt;"",(1.0-B9)/$B$4*1000,""))</f>
        <v/>
      </c>
      <c r="E9" s="12" t="n">
        <v>0</v>
      </c>
      <c r="F9" s="10" t="inlineStr"/>
      <c r="G9" s="10" t="inlineStr"/>
      <c r="H9" s="11">
        <f>IF(G9&lt;&gt;"",G9/$B$4*1000,IF(F9&lt;&gt;"",(3.0-F9)/$B$4*1000,""))</f>
        <v/>
      </c>
      <c r="I9" s="12" t="n">
        <v>0</v>
      </c>
      <c r="J9" s="10" t="inlineStr"/>
      <c r="K9" s="10" t="inlineStr"/>
      <c r="L9" s="11">
        <f>IF(K9&lt;&gt;"",K9/$B$4*1000,IF(J9&lt;&gt;"",(5.0-J9)/$B$4*1000,""))</f>
        <v/>
      </c>
      <c r="M9" s="12" t="n">
        <v>0</v>
      </c>
    </row>
    <row r="10">
      <c r="A10" s="9" t="n">
        <v>2</v>
      </c>
      <c r="B10" s="10" t="inlineStr"/>
      <c r="C10" s="10" t="inlineStr"/>
      <c r="D10" s="11">
        <f>IF(C10&lt;&gt;"",C10/$B$4*1000,IF(B10&lt;&gt;"",(1.0-B10)/$B$4*1000,""))</f>
        <v/>
      </c>
      <c r="E10" s="12" t="n">
        <v>0.0185</v>
      </c>
      <c r="F10" s="10" t="inlineStr"/>
      <c r="G10" s="10" t="inlineStr"/>
      <c r="H10" s="11">
        <f>IF(G10&lt;&gt;"",G10/$B$4*1000,IF(F10&lt;&gt;"",(3.0-F10)/$B$4*1000,""))</f>
        <v/>
      </c>
      <c r="I10" s="12" t="n">
        <v>0.0197</v>
      </c>
      <c r="J10" s="10" t="inlineStr"/>
      <c r="K10" s="10" t="inlineStr"/>
      <c r="L10" s="11">
        <f>IF(K10&lt;&gt;"",K10/$B$4*1000,IF(J10&lt;&gt;"",(5.0-J10)/$B$4*1000,""))</f>
        <v/>
      </c>
      <c r="M10" s="12" t="n">
        <v>0.0207</v>
      </c>
    </row>
    <row r="11">
      <c r="A11" s="9" t="n">
        <v>3</v>
      </c>
      <c r="B11" s="10" t="inlineStr"/>
      <c r="C11" s="10" t="inlineStr"/>
      <c r="D11" s="11">
        <f>IF(C11&lt;&gt;"",C11/$B$4*1000,IF(B11&lt;&gt;"",(1.0-B11)/$B$4*1000,""))</f>
        <v/>
      </c>
      <c r="E11" s="12" t="n">
        <v>8.633100000000001</v>
      </c>
      <c r="F11" s="10" t="inlineStr"/>
      <c r="G11" s="10" t="inlineStr"/>
      <c r="H11" s="11">
        <f>IF(G11&lt;&gt;"",G11/$B$4*1000,IF(F11&lt;&gt;"",(3.0-F11)/$B$4*1000,""))</f>
        <v/>
      </c>
      <c r="I11" s="12" t="n">
        <v>24.7749</v>
      </c>
      <c r="J11" s="10" t="inlineStr"/>
      <c r="K11" s="10" t="inlineStr"/>
      <c r="L11" s="11">
        <f>IF(K11&lt;&gt;"",K11/$B$4*1000,IF(J11&lt;&gt;"",(5.0-J11)/$B$4*1000,""))</f>
        <v/>
      </c>
      <c r="M11" s="12" t="n">
        <v>31.346</v>
      </c>
    </row>
    <row r="12">
      <c r="A12" s="9" t="n">
        <v>4</v>
      </c>
      <c r="B12" s="10" t="inlineStr"/>
      <c r="C12" s="10" t="inlineStr"/>
      <c r="D12" s="11">
        <f>IF(C12&lt;&gt;"",C12/$B$4*1000,IF(B12&lt;&gt;"",(1.0-B12)/$B$4*1000,""))</f>
        <v/>
      </c>
      <c r="E12" s="12" t="n">
        <v>9.3596</v>
      </c>
      <c r="F12" s="10" t="inlineStr"/>
      <c r="G12" s="10" t="inlineStr"/>
      <c r="H12" s="11">
        <f>IF(G12&lt;&gt;"",G12/$B$4*1000,IF(F12&lt;&gt;"",(3.0-F12)/$B$4*1000,""))</f>
        <v/>
      </c>
      <c r="I12" s="12" t="n">
        <v>28.0076</v>
      </c>
      <c r="J12" s="10" t="inlineStr"/>
      <c r="K12" s="10" t="inlineStr"/>
      <c r="L12" s="11">
        <f>IF(K12&lt;&gt;"",K12/$B$4*1000,IF(J12&lt;&gt;"",(5.0-J12)/$B$4*1000,""))</f>
        <v/>
      </c>
      <c r="M12" s="12" t="n">
        <v>46.5403</v>
      </c>
    </row>
    <row r="13">
      <c r="A13" s="9" t="n">
        <v>5</v>
      </c>
      <c r="B13" s="10" t="inlineStr"/>
      <c r="C13" s="10" t="inlineStr"/>
      <c r="D13" s="11">
        <f>IF(C13&lt;&gt;"",C13/$B$4*1000,IF(B13&lt;&gt;"",(1.0-B13)/$B$4*1000,""))</f>
        <v/>
      </c>
      <c r="E13" s="12" t="n">
        <v>9.578200000000001</v>
      </c>
      <c r="F13" s="10" t="inlineStr"/>
      <c r="G13" s="10" t="inlineStr"/>
      <c r="H13" s="11">
        <f>IF(G13&lt;&gt;"",G13/$B$4*1000,IF(F13&lt;&gt;"",(3.0-F13)/$B$4*1000,""))</f>
        <v/>
      </c>
      <c r="I13" s="12" t="n">
        <v>28.7152</v>
      </c>
      <c r="J13" s="10" t="inlineStr"/>
      <c r="K13" s="10" t="inlineStr"/>
      <c r="L13" s="11">
        <f>IF(K13&lt;&gt;"",K13/$B$4*1000,IF(J13&lt;&gt;"",(5.0-J13)/$B$4*1000,""))</f>
        <v/>
      </c>
      <c r="M13" s="12" t="n">
        <v>47.8244</v>
      </c>
    </row>
    <row r="15">
      <c r="A15" s="2" t="inlineStr">
        <is>
          <t>兩欄電壓量其中一個就夠，兩個都量是為了當場對帳：V_D + V_R1 應該等於該組的 V_DS 設定值，對不起來就是有一次量錯。I_D 欄優先用 V_R1，沒填時自動改用 (V_DS − V_D)/R1。</t>
        </is>
      </c>
    </row>
    <row r="16">
      <c r="A16" s="2" t="inlineStr">
        <is>
          <t>源極已接地，所以 V_D 就是元件真正的 V_DS、電源設定的 V_GS 就是元件真正的 V_GS，不用再減。</t>
        </is>
      </c>
    </row>
    <row r="18">
      <c r="A18" s="3" t="inlineStr">
        <is>
          <t>加密掃描（找 V_th 用）</t>
        </is>
      </c>
      <c r="C18" s="2" t="inlineStr">
        <is>
          <t>選用的 V_DS (V) →</t>
        </is>
      </c>
      <c r="D18" s="13" t="inlineStr"/>
    </row>
    <row r="19">
      <c r="A19" s="8" t="inlineStr">
        <is>
          <t>V_GS 設定 (V)</t>
        </is>
      </c>
      <c r="B19" s="8" t="inlineStr">
        <is>
          <t>V_D 量測 (V)</t>
        </is>
      </c>
      <c r="C19" s="8" t="inlineStr">
        <is>
          <t>I_D (mA)</t>
        </is>
      </c>
      <c r="D19" s="8" t="inlineStr">
        <is>
          <t>√I_D</t>
        </is>
      </c>
    </row>
    <row r="20">
      <c r="A20" s="14" t="inlineStr"/>
      <c r="B20" s="10" t="inlineStr"/>
      <c r="C20" s="11">
        <f>IF(OR(A20="",B20="",$D$18=""),"",($D$18-B20)/$B$4*1000)</f>
        <v/>
      </c>
      <c r="D20" s="11">
        <f>IF(C20="","",SQRT(C20))</f>
        <v/>
      </c>
    </row>
    <row r="21">
      <c r="A21" s="14" t="inlineStr"/>
      <c r="B21" s="10" t="inlineStr"/>
      <c r="C21" s="11">
        <f>IF(OR(A21="",B21="",$D$18=""),"",($D$18-B21)/$B$4*1000)</f>
        <v/>
      </c>
      <c r="D21" s="11">
        <f>IF(C21="","",SQRT(C21))</f>
        <v/>
      </c>
    </row>
    <row r="22">
      <c r="A22" s="14" t="inlineStr"/>
      <c r="B22" s="10" t="inlineStr"/>
      <c r="C22" s="11">
        <f>IF(OR(A22="",B22="",$D$18=""),"",($D$18-B22)/$B$4*1000)</f>
        <v/>
      </c>
      <c r="D22" s="11">
        <f>IF(C22="","",SQRT(C22))</f>
        <v/>
      </c>
    </row>
    <row r="23">
      <c r="A23" s="14" t="inlineStr"/>
      <c r="B23" s="10" t="inlineStr"/>
      <c r="C23" s="11">
        <f>IF(OR(A23="",B23="",$D$18=""),"",($D$18-B23)/$B$4*1000)</f>
        <v/>
      </c>
      <c r="D23" s="11">
        <f>IF(C23="","",SQRT(C23))</f>
        <v/>
      </c>
    </row>
    <row r="24">
      <c r="A24" s="14" t="inlineStr"/>
      <c r="B24" s="10" t="inlineStr"/>
      <c r="C24" s="11">
        <f>IF(OR(A24="",B24="",$D$18=""),"",($D$18-B24)/$B$4*1000)</f>
        <v/>
      </c>
      <c r="D24" s="11">
        <f>IF(C24="","",SQRT(C24))</f>
        <v/>
      </c>
    </row>
    <row r="25">
      <c r="A25" s="14" t="inlineStr"/>
      <c r="B25" s="10" t="inlineStr"/>
      <c r="C25" s="11">
        <f>IF(OR(A25="",B25="",$D$18=""),"",($D$18-B25)/$B$4*1000)</f>
        <v/>
      </c>
      <c r="D25" s="11">
        <f>IF(C25="","",SQRT(C25))</f>
        <v/>
      </c>
    </row>
    <row r="26">
      <c r="A26" s="14" t="inlineStr"/>
      <c r="B26" s="10" t="inlineStr"/>
      <c r="C26" s="11">
        <f>IF(OR(A26="",B26="",$D$18=""),"",($D$18-B26)/$B$4*1000)</f>
        <v/>
      </c>
      <c r="D26" s="11">
        <f>IF(C26="","",SQRT(C26))</f>
        <v/>
      </c>
    </row>
    <row r="27">
      <c r="A27" s="14" t="inlineStr"/>
      <c r="B27" s="10" t="inlineStr"/>
      <c r="C27" s="11">
        <f>IF(OR(A27="",B27="",$D$18=""),"",($D$18-B27)/$B$4*1000)</f>
        <v/>
      </c>
      <c r="D27" s="11">
        <f>IF(C27="","",SQRT(C27))</f>
        <v/>
      </c>
    </row>
    <row r="28">
      <c r="A28" s="14" t="inlineStr"/>
      <c r="B28" s="10" t="inlineStr"/>
      <c r="C28" s="11">
        <f>IF(OR(A28="",B28="",$D$18=""),"",($D$18-B28)/$B$4*1000)</f>
        <v/>
      </c>
      <c r="D28" s="11">
        <f>IF(C28="","",SQRT(C28))</f>
        <v/>
      </c>
    </row>
    <row r="29">
      <c r="A29" s="14" t="inlineStr"/>
      <c r="B29" s="10" t="inlineStr"/>
      <c r="C29" s="11">
        <f>IF(OR(A29="",B29="",$D$18=""),"",($D$18-B29)/$B$4*1000)</f>
        <v/>
      </c>
      <c r="D29" s="11">
        <f>IF(C29="","",SQRT(C29))</f>
        <v/>
      </c>
    </row>
    <row r="30">
      <c r="A30" s="2" t="inlineStr">
        <is>
          <t>做法：先看粗掃表在哪一格之間跳起來，回到那一段用 0.1～0.2 V 一階重掃十點；√I_D 欄若呈一條直線就代表那幾點在平方律上，可以拿來外插。</t>
        </is>
      </c>
    </row>
    <row r="32">
      <c r="A32" s="3" t="inlineStr">
        <is>
          <t>臨界電壓 V_th（平方根外插）</t>
        </is>
      </c>
    </row>
    <row r="33">
      <c r="A33" s="8" t="inlineStr"/>
      <c r="B33" s="8" t="inlineStr">
        <is>
          <t>量測點 1</t>
        </is>
      </c>
      <c r="C33" s="8" t="inlineStr">
        <is>
          <t>量測點 2</t>
        </is>
      </c>
      <c r="D33" s="8" t="inlineStr">
        <is>
          <t>外插結果</t>
        </is>
      </c>
    </row>
    <row r="34">
      <c r="A34" s="15" t="inlineStr">
        <is>
          <t>V_GS (V)</t>
        </is>
      </c>
      <c r="B34" s="14" t="inlineStr"/>
      <c r="C34" s="14" t="inlineStr"/>
      <c r="D34" s="11">
        <f>IF(OR(B34="",B35="",C34="",C35=""),"",B34-(C34-B34)/(SQRT(C35)-SQRT(B35))*SQRT(B35))</f>
        <v/>
      </c>
      <c r="E34" s="3" t="inlineStr">
        <is>
          <t>← V_th (V)</t>
        </is>
      </c>
    </row>
    <row r="35">
      <c r="A35" s="15" t="inlineStr">
        <is>
          <t>I_D (mA)</t>
        </is>
      </c>
      <c r="B35" s="10" t="inlineStr"/>
      <c r="C35" s="10" t="inlineStr"/>
      <c r="D35" s="12" t="n">
        <v>2.14</v>
      </c>
      <c r="E35" s="2" t="inlineStr">
        <is>
          <t>← LTspice（BS170）的 V_to</t>
        </is>
      </c>
    </row>
    <row r="36">
      <c r="D36" s="15">
        <f>IF(D34="","",IF(OR(D34&lt;0,D34&gt;MIN(B34,C34)),"兩點取在平台上了，重挑","合理"))</f>
        <v/>
      </c>
      <c r="E36" s="2" t="inlineStr">
        <is>
          <t>← 合理性檢查</t>
        </is>
      </c>
    </row>
    <row r="37">
      <c r="A37" s="2" t="inlineStr">
        <is>
          <t>兩個點都要取自上面的加密掃描、且落在抬頭段（建議 I_D 在 1～5 mA 之間）。取到被 R1 限流的平台（I_D 接近 V_DS/100 Ω）會算出負的 V_th。</t>
        </is>
      </c>
    </row>
    <row r="38">
      <c r="A38" s="2" t="inlineStr">
        <is>
          <t>三組的平台高度約等於 V_DS / 100 Ω，那是 R1 在限流、不是元件飽和；要讀的資訊全在抬頭那一段。</t>
        </is>
      </c>
    </row>
  </sheetData>
  <mergeCells count="5">
    <mergeCell ref="B6:E6"/>
    <mergeCell ref="A2:N2"/>
    <mergeCell ref="J6:M6"/>
    <mergeCell ref="F6:I6"/>
    <mergeCell ref="A1:N1"/>
  </mergeCells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48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16" customWidth="1" min="2" max="2"/>
    <col width="26" customWidth="1" min="4" max="4"/>
    <col width="16" customWidth="1" min="5" max="5"/>
  </cols>
  <sheetData>
    <row r="1">
      <c r="A1" s="1" t="inlineStr">
        <is>
          <t>交報告用表格（版面照 App_Lab3.pdf 第 7 頁與第 9 頁）</t>
        </is>
      </c>
    </row>
    <row r="2">
      <c r="A2" s="2" t="inlineStr">
        <is>
          <t>數字由前兩張表帶過來；空白代表當天沒量。直接整塊複製貼進報告</t>
        </is>
      </c>
    </row>
    <row r="4">
      <c r="A4" s="3" t="inlineStr">
        <is>
          <t>1. Circuit schematic (characteristic curve, I_D-V_DS)</t>
        </is>
      </c>
    </row>
    <row r="5">
      <c r="A5" s="7" t="inlineStr">
        <is>
          <t>V_GS = 0 V</t>
        </is>
      </c>
      <c r="B5" s="6" t="n"/>
      <c r="D5" s="7" t="inlineStr">
        <is>
          <t>V_GS = 2 V</t>
        </is>
      </c>
      <c r="E5" s="6" t="n"/>
    </row>
    <row r="6">
      <c r="A6" s="8" t="inlineStr">
        <is>
          <t>V_DS (experimental setting)</t>
        </is>
      </c>
      <c r="B6" s="8" t="inlineStr">
        <is>
          <t>I_D (measure)</t>
        </is>
      </c>
      <c r="D6" s="8" t="inlineStr">
        <is>
          <t>V_DS (experimental setting)</t>
        </is>
      </c>
      <c r="E6" s="8" t="inlineStr">
        <is>
          <t>I_D (measure)</t>
        </is>
      </c>
    </row>
    <row r="7">
      <c r="A7" s="16" t="inlineStr">
        <is>
          <t>1 V</t>
        </is>
      </c>
      <c r="B7" s="16">
        <f>IF('實驗一 特性曲線'!C8="","",TEXT('實驗一 特性曲線'!C8,"0.000")&amp;" mA")</f>
        <v/>
      </c>
      <c r="D7" s="16" t="inlineStr">
        <is>
          <t>1 V</t>
        </is>
      </c>
      <c r="E7" s="16">
        <f>IF('實驗一 特性曲線'!H8="","",TEXT('實驗一 特性曲線'!H8,"0.000")&amp;" mA")</f>
        <v/>
      </c>
    </row>
    <row r="8">
      <c r="A8" s="16" t="inlineStr">
        <is>
          <t>2 V</t>
        </is>
      </c>
      <c r="B8" s="16">
        <f>IF('實驗一 特性曲線'!C9="","",TEXT('實驗一 特性曲線'!C9,"0.000")&amp;" mA")</f>
        <v/>
      </c>
      <c r="D8" s="16" t="inlineStr">
        <is>
          <t>2 V</t>
        </is>
      </c>
      <c r="E8" s="16">
        <f>IF('實驗一 特性曲線'!H9="","",TEXT('實驗一 特性曲線'!H9,"0.000")&amp;" mA")</f>
        <v/>
      </c>
    </row>
    <row r="9">
      <c r="A9" s="16" t="inlineStr">
        <is>
          <t>3 V</t>
        </is>
      </c>
      <c r="B9" s="16">
        <f>IF('實驗一 特性曲線'!C10="","",TEXT('實驗一 特性曲線'!C10,"0.000")&amp;" mA")</f>
        <v/>
      </c>
      <c r="D9" s="16" t="inlineStr">
        <is>
          <t>3 V</t>
        </is>
      </c>
      <c r="E9" s="16">
        <f>IF('實驗一 特性曲線'!H10="","",TEXT('實驗一 特性曲線'!H10,"0.000")&amp;" mA")</f>
        <v/>
      </c>
    </row>
    <row r="10">
      <c r="A10" s="16" t="inlineStr">
        <is>
          <t>4 V</t>
        </is>
      </c>
      <c r="B10" s="16">
        <f>IF('實驗一 特性曲線'!C11="","",TEXT('實驗一 特性曲線'!C11,"0.000")&amp;" mA")</f>
        <v/>
      </c>
      <c r="D10" s="16" t="inlineStr">
        <is>
          <t>4 V</t>
        </is>
      </c>
      <c r="E10" s="16">
        <f>IF('實驗一 特性曲線'!H11="","",TEXT('實驗一 特性曲線'!H11,"0.000")&amp;" mA")</f>
        <v/>
      </c>
    </row>
    <row r="11">
      <c r="A11" s="16" t="inlineStr">
        <is>
          <t>5 V</t>
        </is>
      </c>
      <c r="B11" s="16">
        <f>IF('實驗一 特性曲線'!C12="","",TEXT('實驗一 特性曲線'!C12,"0.000")&amp;" mA")</f>
        <v/>
      </c>
      <c r="D11" s="16" t="inlineStr">
        <is>
          <t>5 V</t>
        </is>
      </c>
      <c r="E11" s="16">
        <f>IF('實驗一 特性曲線'!H12="","",TEXT('實驗一 特性曲線'!H12,"0.000")&amp;" mA")</f>
        <v/>
      </c>
    </row>
    <row r="13">
      <c r="A13" s="7" t="inlineStr">
        <is>
          <t>V_GS = 4 V</t>
        </is>
      </c>
      <c r="B13" s="6" t="n"/>
      <c r="D13" s="7" t="inlineStr">
        <is>
          <t>V_GS = 6 V</t>
        </is>
      </c>
      <c r="E13" s="6" t="n"/>
    </row>
    <row r="14">
      <c r="A14" s="8" t="inlineStr">
        <is>
          <t>V_DS (experimental setting)</t>
        </is>
      </c>
      <c r="B14" s="8" t="inlineStr">
        <is>
          <t>I_D (measure)</t>
        </is>
      </c>
      <c r="D14" s="8" t="inlineStr">
        <is>
          <t>V_DS (experimental setting)</t>
        </is>
      </c>
      <c r="E14" s="8" t="inlineStr">
        <is>
          <t>I_D (measure)</t>
        </is>
      </c>
    </row>
    <row r="15">
      <c r="A15" s="16" t="inlineStr">
        <is>
          <t>1 V</t>
        </is>
      </c>
      <c r="B15" s="16">
        <f>IF('實驗一 特性曲線'!M8="","",TEXT('實驗一 特性曲線'!M8,"0.000")&amp;" mA")</f>
        <v/>
      </c>
      <c r="D15" s="16" t="inlineStr">
        <is>
          <t>1 V</t>
        </is>
      </c>
      <c r="E15" s="16">
        <f>IF('實驗一 特性曲線'!R8="","",TEXT('實驗一 特性曲線'!R8,"0.000")&amp;" mA")</f>
        <v/>
      </c>
    </row>
    <row r="16">
      <c r="A16" s="16" t="inlineStr">
        <is>
          <t>2 V</t>
        </is>
      </c>
      <c r="B16" s="16">
        <f>IF('實驗一 特性曲線'!M9="","",TEXT('實驗一 特性曲線'!M9,"0.000")&amp;" mA")</f>
        <v/>
      </c>
      <c r="D16" s="16" t="inlineStr">
        <is>
          <t>2 V</t>
        </is>
      </c>
      <c r="E16" s="16">
        <f>IF('實驗一 特性曲線'!R9="","",TEXT('實驗一 特性曲線'!R9,"0.000")&amp;" mA")</f>
        <v/>
      </c>
    </row>
    <row r="17">
      <c r="A17" s="16" t="inlineStr">
        <is>
          <t>3 V</t>
        </is>
      </c>
      <c r="B17" s="16">
        <f>IF('實驗一 特性曲線'!M10="","",TEXT('實驗一 特性曲線'!M10,"0.000")&amp;" mA")</f>
        <v/>
      </c>
      <c r="D17" s="16" t="inlineStr">
        <is>
          <t>3 V</t>
        </is>
      </c>
      <c r="E17" s="16">
        <f>IF('實驗一 特性曲線'!R10="","",TEXT('實驗一 特性曲線'!R10,"0.000")&amp;" mA")</f>
        <v/>
      </c>
    </row>
    <row r="18">
      <c r="A18" s="16" t="inlineStr">
        <is>
          <t>4 V</t>
        </is>
      </c>
      <c r="B18" s="16">
        <f>IF('實驗一 特性曲線'!M11="","",TEXT('實驗一 特性曲線'!M11,"0.000")&amp;" mA")</f>
        <v/>
      </c>
      <c r="D18" s="16" t="inlineStr">
        <is>
          <t>4 V</t>
        </is>
      </c>
      <c r="E18" s="16">
        <f>IF('實驗一 特性曲線'!R11="","",TEXT('實驗一 特性曲線'!R11,"0.000")&amp;" mA")</f>
        <v/>
      </c>
    </row>
    <row r="19">
      <c r="A19" s="16" t="inlineStr">
        <is>
          <t>5 V</t>
        </is>
      </c>
      <c r="B19" s="16">
        <f>IF('實驗一 特性曲線'!M12="","",TEXT('實驗一 特性曲線'!M12,"0.000")&amp;" mA")</f>
        <v/>
      </c>
      <c r="D19" s="16" t="inlineStr">
        <is>
          <t>5 V</t>
        </is>
      </c>
      <c r="E19" s="16">
        <f>IF('實驗一 特性曲線'!R12="","",TEXT('實驗一 特性曲線'!R12,"0.000")&amp;" mA")</f>
        <v/>
      </c>
    </row>
    <row r="22">
      <c r="A22" s="3" t="inlineStr">
        <is>
          <t>2. Circuit schematic (transfer curve, I_D-V_GS)</t>
        </is>
      </c>
    </row>
    <row r="23">
      <c r="A23" s="7" t="inlineStr">
        <is>
          <t>V_DS = 1 V</t>
        </is>
      </c>
      <c r="B23" s="6" t="n"/>
    </row>
    <row r="24">
      <c r="A24" s="8" t="inlineStr">
        <is>
          <t>V_GS (experimental setting)</t>
        </is>
      </c>
      <c r="B24" s="8" t="inlineStr">
        <is>
          <t>I_D (measure)</t>
        </is>
      </c>
    </row>
    <row r="25">
      <c r="A25" s="16" t="inlineStr">
        <is>
          <t>0.5 V</t>
        </is>
      </c>
      <c r="B25" s="16">
        <f>IF('實驗二 轉移曲線'!D8="","",TEXT('實驗二 轉移曲線'!D8,"0.000")&amp;" mA")</f>
        <v/>
      </c>
    </row>
    <row r="26">
      <c r="A26" s="16" t="inlineStr">
        <is>
          <t>1 V</t>
        </is>
      </c>
      <c r="B26" s="16">
        <f>IF('實驗二 轉移曲線'!D9="","",TEXT('實驗二 轉移曲線'!D9,"0.000")&amp;" mA")</f>
        <v/>
      </c>
    </row>
    <row r="27">
      <c r="A27" s="16" t="inlineStr">
        <is>
          <t>2 V</t>
        </is>
      </c>
      <c r="B27" s="16">
        <f>IF('實驗二 轉移曲線'!D10="","",TEXT('實驗二 轉移曲線'!D10,"0.000")&amp;" mA")</f>
        <v/>
      </c>
    </row>
    <row r="28">
      <c r="A28" s="16" t="inlineStr">
        <is>
          <t>3 V</t>
        </is>
      </c>
      <c r="B28" s="16">
        <f>IF('實驗二 轉移曲線'!D11="","",TEXT('實驗二 轉移曲線'!D11,"0.000")&amp;" mA")</f>
        <v/>
      </c>
    </row>
    <row r="29">
      <c r="A29" s="16" t="inlineStr">
        <is>
          <t>4 V</t>
        </is>
      </c>
      <c r="B29" s="16">
        <f>IF('實驗二 轉移曲線'!D12="","",TEXT('實驗二 轉移曲線'!D12,"0.000")&amp;" mA")</f>
        <v/>
      </c>
    </row>
    <row r="30">
      <c r="A30" s="16" t="inlineStr">
        <is>
          <t>5 V</t>
        </is>
      </c>
      <c r="B30" s="16">
        <f>IF('實驗二 轉移曲線'!D13="","",TEXT('實驗二 轉移曲線'!D13,"0.000")&amp;" mA")</f>
        <v/>
      </c>
    </row>
    <row r="32">
      <c r="A32" s="7" t="inlineStr">
        <is>
          <t>V_DS = 3 V</t>
        </is>
      </c>
      <c r="B32" s="6" t="n"/>
    </row>
    <row r="33">
      <c r="A33" s="8" t="inlineStr">
        <is>
          <t>V_GS (experimental setting)</t>
        </is>
      </c>
      <c r="B33" s="8" t="inlineStr">
        <is>
          <t>I_D (measure)</t>
        </is>
      </c>
    </row>
    <row r="34">
      <c r="A34" s="16" t="inlineStr">
        <is>
          <t>0.5 V</t>
        </is>
      </c>
      <c r="B34" s="16">
        <f>IF('實驗二 轉移曲線'!H8="","",TEXT('實驗二 轉移曲線'!H8,"0.000")&amp;" mA")</f>
        <v/>
      </c>
    </row>
    <row r="35">
      <c r="A35" s="16" t="inlineStr">
        <is>
          <t>1 V</t>
        </is>
      </c>
      <c r="B35" s="16">
        <f>IF('實驗二 轉移曲線'!H9="","",TEXT('實驗二 轉移曲線'!H9,"0.000")&amp;" mA")</f>
        <v/>
      </c>
    </row>
    <row r="36">
      <c r="A36" s="16" t="inlineStr">
        <is>
          <t>2 V</t>
        </is>
      </c>
      <c r="B36" s="16">
        <f>IF('實驗二 轉移曲線'!H10="","",TEXT('實驗二 轉移曲線'!H10,"0.000")&amp;" mA")</f>
        <v/>
      </c>
    </row>
    <row r="37">
      <c r="A37" s="16" t="inlineStr">
        <is>
          <t>3 V</t>
        </is>
      </c>
      <c r="B37" s="16">
        <f>IF('實驗二 轉移曲線'!H11="","",TEXT('實驗二 轉移曲線'!H11,"0.000")&amp;" mA")</f>
        <v/>
      </c>
    </row>
    <row r="38">
      <c r="A38" s="16" t="inlineStr">
        <is>
          <t>4 V</t>
        </is>
      </c>
      <c r="B38" s="16">
        <f>IF('實驗二 轉移曲線'!H12="","",TEXT('實驗二 轉移曲線'!H12,"0.000")&amp;" mA")</f>
        <v/>
      </c>
    </row>
    <row r="39">
      <c r="A39" s="16" t="inlineStr">
        <is>
          <t>5 V</t>
        </is>
      </c>
      <c r="B39" s="16">
        <f>IF('實驗二 轉移曲線'!H13="","",TEXT('實驗二 轉移曲線'!H13,"0.000")&amp;" mA")</f>
        <v/>
      </c>
    </row>
    <row r="41">
      <c r="A41" s="7" t="inlineStr">
        <is>
          <t>V_DS = 5 V</t>
        </is>
      </c>
      <c r="B41" s="6" t="n"/>
    </row>
    <row r="42">
      <c r="A42" s="8" t="inlineStr">
        <is>
          <t>V_GS (experimental setting)</t>
        </is>
      </c>
      <c r="B42" s="8" t="inlineStr">
        <is>
          <t>I_D (measure)</t>
        </is>
      </c>
    </row>
    <row r="43">
      <c r="A43" s="16" t="inlineStr">
        <is>
          <t>0.5 V</t>
        </is>
      </c>
      <c r="B43" s="16">
        <f>IF('實驗二 轉移曲線'!L8="","",TEXT('實驗二 轉移曲線'!L8,"0.000")&amp;" mA")</f>
        <v/>
      </c>
    </row>
    <row r="44">
      <c r="A44" s="16" t="inlineStr">
        <is>
          <t>1 V</t>
        </is>
      </c>
      <c r="B44" s="16">
        <f>IF('實驗二 轉移曲線'!L9="","",TEXT('實驗二 轉移曲線'!L9,"0.000")&amp;" mA")</f>
        <v/>
      </c>
    </row>
    <row r="45">
      <c r="A45" s="16" t="inlineStr">
        <is>
          <t>2 V</t>
        </is>
      </c>
      <c r="B45" s="16">
        <f>IF('實驗二 轉移曲線'!L10="","",TEXT('實驗二 轉移曲線'!L10,"0.000")&amp;" mA")</f>
        <v/>
      </c>
    </row>
    <row r="46">
      <c r="A46" s="16" t="inlineStr">
        <is>
          <t>3 V</t>
        </is>
      </c>
      <c r="B46" s="16">
        <f>IF('實驗二 轉移曲線'!L11="","",TEXT('實驗二 轉移曲線'!L11,"0.000")&amp;" mA")</f>
        <v/>
      </c>
    </row>
    <row r="47">
      <c r="A47" s="16" t="inlineStr">
        <is>
          <t>4 V</t>
        </is>
      </c>
      <c r="B47" s="16">
        <f>IF('實驗二 轉移曲線'!L12="","",TEXT('實驗二 轉移曲線'!L12,"0.000")&amp;" mA")</f>
        <v/>
      </c>
    </row>
    <row r="48">
      <c r="A48" s="16" t="inlineStr">
        <is>
          <t>5 V</t>
        </is>
      </c>
      <c r="B48" s="16">
        <f>IF('實驗二 轉移曲線'!L13="","",TEXT('實驗二 轉移曲線'!L13,"0.000")&amp;" mA")</f>
        <v/>
      </c>
    </row>
  </sheetData>
  <mergeCells count="9">
    <mergeCell ref="A41:B41"/>
    <mergeCell ref="D13:E13"/>
    <mergeCell ref="A2:H2"/>
    <mergeCell ref="D5:E5"/>
    <mergeCell ref="A5:B5"/>
    <mergeCell ref="A23:B23"/>
    <mergeCell ref="A32:B32"/>
    <mergeCell ref="A13:B13"/>
    <mergeCell ref="A1:H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2026-10-31T11:12:37Z</dcterms:created>
  <dcterms:modified xmlns:dcterms="http://purl.org/dc/terms/" xmlns:xsi="http://www.w3.org/2001/XMLSchema-instance" xsi:type="dcterms:W3CDTF">2026-10-31T11:12:37Z</dcterms:modified>
</cp:coreProperties>
</file>