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特性曲線" sheetId="2" state="visible" r:id="rId2"/>
    <sheet xmlns:r="http://schemas.openxmlformats.org/officeDocument/2006/relationships" name="交報告用 Table 1" sheetId="3" state="visible" r:id="rId3"/>
    <sheet xmlns:r="http://schemas.openxmlformats.org/officeDocument/2006/relationships" name="實驗二 beta" sheetId="4" state="visible" r:id="rId4"/>
    <sheet xmlns:r="http://schemas.openxmlformats.org/officeDocument/2006/relationships" name="第二部分 CE 放大器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F1F9"/>
      </patternFill>
    </fill>
    <fill>
      <patternFill patternType="solid">
        <fgColor rgb="003C7FB1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0" fontId="5" fillId="0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4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pivotButton="0" quotePrefix="0" xfId="0"/>
    <xf numFmtId="0" fontId="2" fillId="0" borderId="1" pivotButton="0" quotePrefix="0" xfId="0"/>
    <xf numFmtId="0" fontId="6" fillId="5" borderId="1" applyAlignment="1" pivotButton="0" quotePrefix="0" xfId="0">
      <alignment horizontal="center" vertical="center"/>
    </xf>
    <xf numFmtId="0" fontId="3" fillId="2" borderId="1" pivotButton="0" quotePrefix="0" xfId="0"/>
    <xf numFmtId="2" fontId="4" fillId="3" borderId="1" pivotButton="0" quotePrefix="0" xfId="0"/>
    <xf numFmtId="1" fontId="4" fillId="3" borderId="1" pivotButton="0" quotePrefix="0" xfId="0"/>
    <xf numFmtId="164" fontId="4" fillId="3" borderId="1" pivotButton="0" quotePrefix="0" xfId="0"/>
    <xf numFmtId="2" fontId="4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實驗一：輸出特性曲線 I_C–V_CE（實測 vs LTspice）</a:t>
            </a:r>
          </a:p>
        </rich>
      </tx>
    </title>
    <plotArea>
      <scatterChart>
        <ser>
          <idx val="0"/>
          <order val="0"/>
          <tx>
            <v>實測 1.5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特性曲線'!$B$13:$B$43</f>
            </numRef>
          </xVal>
          <yVal>
            <numRef>
              <f>'實驗一 特性曲線'!$D$13:$D$43</f>
            </numRef>
          </yVal>
        </ser>
        <ser>
          <idx val="1"/>
          <order val="1"/>
          <tx>
            <v>實測 2.0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特性曲線'!$G$13:$G$43</f>
            </numRef>
          </xVal>
          <yVal>
            <numRef>
              <f>'實驗一 特性曲線'!$I$13:$I$43</f>
            </numRef>
          </yVal>
        </ser>
        <ser>
          <idx val="2"/>
          <order val="2"/>
          <tx>
            <v>實測 2.2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特性曲線'!$L$13:$L$43</f>
            </numRef>
          </xVal>
          <yVal>
            <numRef>
              <f>'實驗一 特性曲線'!$N$13:$N$43</f>
            </numRef>
          </yVal>
        </ser>
        <ser>
          <idx val="3"/>
          <order val="3"/>
          <tx>
            <v>實測 2.4 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'實驗一 特性曲線'!$Q$13:$Q$43</f>
            </numRef>
          </xVal>
          <yVal>
            <numRef>
              <f>'實驗一 特性曲線'!$S$13:$S$43</f>
            </numRef>
          </yVal>
        </ser>
        <ser>
          <idx val="4"/>
          <order val="4"/>
          <tx>
            <v>LTspice 1.5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特性曲線'!$E$13:$E$43</f>
            </numRef>
          </xVal>
          <yVal>
            <numRef>
              <f>'實驗一 特性曲線'!$F$13:$F$43</f>
            </numRef>
          </yVal>
        </ser>
        <ser>
          <idx val="5"/>
          <order val="5"/>
          <tx>
            <v>LTspice 2.0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特性曲線'!$J$13:$J$43</f>
            </numRef>
          </xVal>
          <yVal>
            <numRef>
              <f>'實驗一 特性曲線'!$K$13:$K$43</f>
            </numRef>
          </yVal>
        </ser>
        <ser>
          <idx val="6"/>
          <order val="6"/>
          <tx>
            <v>LTspice 2.2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特性曲線'!$O$13:$O$43</f>
            </numRef>
          </xVal>
          <yVal>
            <numRef>
              <f>'實驗一 特性曲線'!$P$13:$P$43</f>
            </numRef>
          </yVal>
        </ser>
        <ser>
          <idx val="7"/>
          <order val="7"/>
          <tx>
            <v>LTspice 2.4 V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特性曲線'!$T$13:$T$43</f>
            </numRef>
          </xVal>
          <yVal>
            <numRef>
              <f>'實驗一 特性曲線'!$U$13:$U$43</f>
            </numRef>
          </yVal>
        </ser>
        <axId val="10"/>
        <axId val="20"/>
      </scatterChart>
      <valAx>
        <axId val="10"/>
        <scaling>
          <orientation val="minMax"/>
        </scaling>
        <axPos val="b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V_CE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I_C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實驗二：四個電流的實測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tx>
            <v>實測</v>
          </tx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beta'!$B$11:$B$14</f>
            </numRef>
          </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cat>
            <numRef>
              <f>'實驗二 beta'!$A$11:$A$14</f>
            </numRef>
          </cat>
          <val>
            <numRef>
              <f>'實驗二 beta'!$E$11:$E$14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電流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β：板子上算出來的 vs 電表 hFE 檔量到的</a:t>
            </a:r>
          </a:p>
        </rich>
      </tx>
    </title>
    <plotArea>
      <barChart>
        <barDir val="col"/>
        <grouping val="clustered"/>
        <ser>
          <idx val="0"/>
          <order val="0"/>
          <tx>
            <v>β</v>
          </tx>
          <spPr>
            <a:ln xmlns:a="http://schemas.openxmlformats.org/drawingml/2006/main">
              <a:prstDash val="solid"/>
            </a:ln>
          </spPr>
          <cat>
            <numRef>
              <f>'實驗二 beta'!$A$15:$A$16</f>
            </numRef>
          </cat>
          <val>
            <numRef>
              <f>'實驗二 beta'!$B$15:$B$16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第二部分：四種組合的電壓增益（實測 vs LTspice）</a:t>
            </a:r>
          </a:p>
        </rich>
      </tx>
    </title>
    <plotArea>
      <barChart>
        <barDir val="col"/>
        <grouping val="clustered"/>
        <ser>
          <idx val="0"/>
          <order val="0"/>
          <tx>
            <v>實測</v>
          </tx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放大器'!$D$14:$D$17</f>
            </numRef>
          </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cat>
            <numRef>
              <f>'第二部分 CE 放大器'!$A$14:$A$17</f>
            </numRef>
          </cat>
          <val>
            <numRef>
              <f>'第二部分 CE 放大器'!$E$14:$E$17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|A_v|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22</col>
      <colOff>0</colOff>
      <row>10</row>
      <rowOff>0</rowOff>
    </from>
    <ext cx="72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11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Lab 2 BJT 實驗　數據記錄簿</t>
        </is>
      </c>
    </row>
    <row r="2">
      <c r="A2" s="2" t="inlineStr">
        <is>
          <t>電子學實作系列第 6 週．App_Lab2.pdf．兩個部分三張記錄表．當天用筆電直接填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每個實驗一張工作表，只要填黃底的格子，其他欄位都是公式或預報值，不要覆蓋。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實驗一要量四組 VBB × 31 個 VCC；時間不夠時先把 2.2 V 與 2.4 V 兩組量完，</t>
        </is>
      </c>
    </row>
    <row r="9">
      <c r="A9" s="4" t="inlineStr"/>
      <c r="B9" s="4" t="inlineStr">
        <is>
          <t xml:space="preserve">　　這兩組才看得出主動區的平坦段，1.5 V 那組全程截止、量五點確認就好。</t>
        </is>
      </c>
    </row>
    <row r="10">
      <c r="A10" s="4" t="inlineStr">
        <is>
          <t>5</t>
        </is>
      </c>
      <c r="B10" s="4" t="inlineStr">
        <is>
          <t>I_C 一律由集極電阻的壓降換算（I_C = V_RC / R_C）——講義第 8 頁與第 9 頁都是這樣要求的，</t>
        </is>
      </c>
    </row>
    <row r="11">
      <c r="A11" s="4" t="inlineStr"/>
      <c r="B11" s="4" t="inlineStr">
        <is>
          <t xml:space="preserve">　　兩個實驗都不必把電流表串進集極迴路，三用電表全程留在電壓檔。</t>
        </is>
      </c>
    </row>
    <row r="12">
      <c r="A12" s="4" t="inlineStr">
        <is>
          <t>6</t>
        </is>
      </c>
      <c r="B12" s="4" t="inlineStr">
        <is>
          <t>離開實驗室前跑一次每張工作表下方的「當天拍照檢查表」。</t>
        </is>
      </c>
    </row>
    <row r="13">
      <c r="A13" s="4" t="inlineStr"/>
      <c r="B13" s="4" t="inlineStr"/>
    </row>
    <row r="14">
      <c r="A14" s="3" t="inlineStr">
        <is>
          <t>填寫範例（實驗一，VBB = 2.4 V）</t>
        </is>
      </c>
      <c r="B14" s="4" t="inlineStr"/>
    </row>
    <row r="15" ht="30" customHeight="1">
      <c r="A15" s="5" t="inlineStr">
        <is>
          <t>V_CC (V)</t>
        </is>
      </c>
      <c r="B15" s="5" t="inlineStr">
        <is>
          <t>實測 V_CE (V)</t>
        </is>
      </c>
      <c r="C15" s="5" t="inlineStr">
        <is>
          <t>實測 V_RC (V)</t>
        </is>
      </c>
      <c r="D15" s="5" t="inlineStr">
        <is>
          <t>→ I_C (mA)</t>
        </is>
      </c>
      <c r="E15" s="5" t="inlineStr">
        <is>
          <t>LTspice I_C (mA)</t>
        </is>
      </c>
      <c r="F15" s="5" t="inlineStr">
        <is>
          <t>→ 相對偏差 (%)</t>
        </is>
      </c>
    </row>
    <row r="16">
      <c r="A16" s="6" t="n">
        <v>10</v>
      </c>
      <c r="B16" s="7" t="n">
        <v>2.33</v>
      </c>
      <c r="C16" s="7" t="n">
        <v>7.67</v>
      </c>
      <c r="D16" s="8" t="n">
        <v>7.67</v>
      </c>
      <c r="E16" s="9" t="n">
        <v>4.651</v>
      </c>
      <c r="F16" s="10" t="n">
        <v>0.58</v>
      </c>
    </row>
    <row r="17">
      <c r="A17" s="2" t="inlineStr">
        <is>
          <t>↑ 這一列只是示範格式（Tinkercad 在 VBB 2.4 V／VCC 10 V 讀到 2.33 V 與 7.67 mA 就這樣填），正式表裡沒有這一列。</t>
        </is>
      </c>
    </row>
    <row r="19">
      <c r="A19" s="3" t="inlineStr">
        <is>
          <t>資料來源</t>
        </is>
      </c>
    </row>
    <row r="20">
      <c r="A20" s="2" t="inlineStr">
        <is>
          <t>預報欄由 simulations/lab2/*.raw（LTspice，內建 2N2222 模型）以 build_record_xlsx.py 產生；量測級距出自助教的「Lab 2 實驗量測項目」投影片。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4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  <col width="13" customWidth="1" min="12" max="12"/>
    <col width="13" customWidth="1" min="13" max="13"/>
    <col width="15" customWidth="1" min="14" max="14"/>
    <col width="15" customWidth="1" min="15" max="15"/>
    <col width="15" customWidth="1" min="16" max="16"/>
    <col width="13" customWidth="1" min="17" max="17"/>
    <col width="13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實驗一：BJT 偏壓與輸出特性曲線（BJT Biasing &amp; Characteristic Curve）</t>
        </is>
      </c>
    </row>
    <row r="2">
      <c r="A2" s="2" t="inlineStr">
        <is>
          <t>講義第 7–8 頁 Table 1：四組 V_BB，各自把 V_CC 從 0 掃到 15 V，記 V_CE 與 I_C</t>
        </is>
      </c>
    </row>
    <row r="4">
      <c r="A4" s="3" t="inlineStr">
        <is>
          <t>集極電阻 R_C (Ω)</t>
        </is>
      </c>
      <c r="B4" s="11" t="n">
        <v>1000</v>
      </c>
      <c r="C4" s="2" t="inlineStr">
        <is>
          <t>← 講義指定 1 kΩ；改這一格，所有 I_C 計算欄會跟著變</t>
        </is>
      </c>
      <c r="E4" s="3" t="inlineStr">
        <is>
          <t>各組的預報值（實測 V_BE 與 ON/OFF 填在下面各組的標題列，比照講義 Table 1）</t>
        </is>
      </c>
    </row>
    <row r="5" ht="20" customHeight="1">
      <c r="A5" s="5" t="inlineStr"/>
      <c r="B5" s="5" t="inlineStr"/>
      <c r="C5" s="5" t="inlineStr"/>
      <c r="D5" s="5" t="inlineStr"/>
      <c r="E5" s="5" t="inlineStr">
        <is>
          <t>V_BB (V)</t>
        </is>
      </c>
      <c r="F5" s="5" t="inlineStr">
        <is>
          <t>LTspice V_BE (V)</t>
        </is>
      </c>
      <c r="G5" s="5" t="inlineStr">
        <is>
          <t>LTspice I_C @ 15 V (mA)</t>
        </is>
      </c>
      <c r="H5" s="5" t="inlineStr">
        <is>
          <t>ON/OFF（預期）</t>
        </is>
      </c>
    </row>
    <row r="6">
      <c r="E6" s="6" t="n">
        <v>1.5</v>
      </c>
      <c r="F6" s="9" t="n">
        <v>0.48</v>
      </c>
      <c r="G6" s="9" t="n">
        <v>0.001</v>
      </c>
      <c r="H6" s="12" t="inlineStr">
        <is>
          <t>OFF</t>
        </is>
      </c>
    </row>
    <row r="7">
      <c r="E7" s="6" t="n">
        <v>2</v>
      </c>
      <c r="F7" s="9" t="n">
        <v>0.633</v>
      </c>
      <c r="G7" s="9" t="n">
        <v>0.477</v>
      </c>
      <c r="H7" s="12" t="inlineStr">
        <is>
          <t>ON</t>
        </is>
      </c>
    </row>
    <row r="8">
      <c r="E8" s="6" t="n">
        <v>2.2</v>
      </c>
      <c r="F8" s="9" t="n">
        <v>0.673</v>
      </c>
      <c r="G8" s="9" t="n">
        <v>2.147</v>
      </c>
      <c r="H8" s="12" t="inlineStr">
        <is>
          <t>ON</t>
        </is>
      </c>
    </row>
    <row r="9">
      <c r="E9" s="6" t="n">
        <v>2.4</v>
      </c>
      <c r="F9" s="9" t="n">
        <v>0.695</v>
      </c>
      <c r="G9" s="9" t="n">
        <v>4.862</v>
      </c>
      <c r="H9" s="12" t="inlineStr">
        <is>
          <t>ON</t>
        </is>
      </c>
    </row>
    <row r="10">
      <c r="B10" s="2" t="inlineStr">
        <is>
          <t>↓ 各組標題列右邊兩個黃格：左邊填該組量到的 V_BE、右邊填 ON 或 OFF（對應講義 Table 1 的區塊標題）</t>
        </is>
      </c>
    </row>
    <row r="11">
      <c r="B11" s="13" t="inlineStr">
        <is>
          <t>V_BB = 1.5 V　V_BE =</t>
        </is>
      </c>
      <c r="C11" s="14" t="n"/>
      <c r="D11" s="14" t="n"/>
      <c r="E11" s="7" t="n"/>
      <c r="F11" s="15" t="n"/>
      <c r="G11" s="13" t="inlineStr">
        <is>
          <t>V_BB = 2.0 V　V_BE =</t>
        </is>
      </c>
      <c r="H11" s="14" t="n"/>
      <c r="I11" s="14" t="n"/>
      <c r="J11" s="7" t="n"/>
      <c r="K11" s="15" t="n"/>
      <c r="L11" s="13" t="inlineStr">
        <is>
          <t>V_BB = 2.2 V　V_BE =</t>
        </is>
      </c>
      <c r="M11" s="14" t="n"/>
      <c r="N11" s="14" t="n"/>
      <c r="O11" s="7" t="n"/>
      <c r="P11" s="15" t="n"/>
      <c r="Q11" s="13" t="inlineStr">
        <is>
          <t>V_BB = 2.4 V　V_BE =</t>
        </is>
      </c>
      <c r="R11" s="14" t="n"/>
      <c r="S11" s="14" t="n"/>
      <c r="T11" s="7" t="n"/>
      <c r="U11" s="15" t="n"/>
    </row>
    <row r="12" ht="34" customHeight="1">
      <c r="A12" s="5" t="inlineStr">
        <is>
          <t>V_CC (V)</t>
        </is>
      </c>
      <c r="B12" s="5" t="inlineStr">
        <is>
          <t>實測 V_CE (V)</t>
        </is>
      </c>
      <c r="C12" s="5" t="inlineStr">
        <is>
          <t>實測 V_RC (V)</t>
        </is>
      </c>
      <c r="D12" s="5" t="inlineStr">
        <is>
          <t>I_C = V_RC/R_C (mA)</t>
        </is>
      </c>
      <c r="E12" s="5" t="inlineStr">
        <is>
          <t>LTspice V_CE (V)</t>
        </is>
      </c>
      <c r="F12" s="5" t="inlineStr">
        <is>
          <t>LTspice I_C (mA)</t>
        </is>
      </c>
      <c r="G12" s="5" t="inlineStr">
        <is>
          <t>實測 V_CE (V)</t>
        </is>
      </c>
      <c r="H12" s="5" t="inlineStr">
        <is>
          <t>實測 V_RC (V)</t>
        </is>
      </c>
      <c r="I12" s="5" t="inlineStr">
        <is>
          <t>I_C = V_RC/R_C (mA)</t>
        </is>
      </c>
      <c r="J12" s="5" t="inlineStr">
        <is>
          <t>LTspice V_CE (V)</t>
        </is>
      </c>
      <c r="K12" s="5" t="inlineStr">
        <is>
          <t>LTspice I_C (mA)</t>
        </is>
      </c>
      <c r="L12" s="5" t="inlineStr">
        <is>
          <t>實測 V_CE (V)</t>
        </is>
      </c>
      <c r="M12" s="5" t="inlineStr">
        <is>
          <t>實測 V_RC (V)</t>
        </is>
      </c>
      <c r="N12" s="5" t="inlineStr">
        <is>
          <t>I_C = V_RC/R_C (mA)</t>
        </is>
      </c>
      <c r="O12" s="5" t="inlineStr">
        <is>
          <t>LTspice V_CE (V)</t>
        </is>
      </c>
      <c r="P12" s="5" t="inlineStr">
        <is>
          <t>LTspice I_C (mA)</t>
        </is>
      </c>
      <c r="Q12" s="5" t="inlineStr">
        <is>
          <t>實測 V_CE (V)</t>
        </is>
      </c>
      <c r="R12" s="5" t="inlineStr">
        <is>
          <t>實測 V_RC (V)</t>
        </is>
      </c>
      <c r="S12" s="5" t="inlineStr">
        <is>
          <t>I_C = V_RC/R_C (mA)</t>
        </is>
      </c>
      <c r="T12" s="5" t="inlineStr">
        <is>
          <t>LTspice V_CE (V)</t>
        </is>
      </c>
      <c r="U12" s="5" t="inlineStr">
        <is>
          <t>LTspice I_C (mA)</t>
        </is>
      </c>
    </row>
    <row r="13">
      <c r="A13" s="6" t="n">
        <v>0</v>
      </c>
      <c r="B13" s="7" t="n"/>
      <c r="C13" s="7" t="n"/>
      <c r="D13" s="8">
        <f>IF(C13&lt;&gt;"",C13/$B$4*1000,IF(B13&lt;&gt;"",($A13-B13)/$B$4*1000,""))</f>
        <v/>
      </c>
      <c r="E13" s="9" t="n">
        <v>0.0003</v>
      </c>
      <c r="F13" s="9" t="n">
        <v>-0.0003</v>
      </c>
      <c r="G13" s="7" t="n"/>
      <c r="H13" s="7" t="n"/>
      <c r="I13" s="8">
        <f>IF(H13&lt;&gt;"",H13/$B$4*1000,IF(G13&lt;&gt;"",($A13-G13)/$B$4*1000,""))</f>
        <v/>
      </c>
      <c r="J13" s="9" t="n">
        <v>0.0054</v>
      </c>
      <c r="K13" s="9" t="n">
        <v>-0.0054</v>
      </c>
      <c r="L13" s="7" t="n"/>
      <c r="M13" s="7" t="n"/>
      <c r="N13" s="8">
        <f>IF(M13&lt;&gt;"",M13/$B$4*1000,IF(L13&lt;&gt;"",($A13-L13)/$B$4*1000,""))</f>
        <v/>
      </c>
      <c r="O13" s="9" t="n">
        <v>0.0062</v>
      </c>
      <c r="P13" s="9" t="n">
        <v>-0.0062</v>
      </c>
      <c r="Q13" s="7" t="n"/>
      <c r="R13" s="7" t="n"/>
      <c r="S13" s="8">
        <f>IF(R13&lt;&gt;"",R13/$B$4*1000,IF(Q13&lt;&gt;"",($A13-Q13)/$B$4*1000,""))</f>
        <v/>
      </c>
      <c r="T13" s="9" t="n">
        <v>0.0066</v>
      </c>
      <c r="U13" s="9" t="n">
        <v>-0.0066</v>
      </c>
    </row>
    <row r="14">
      <c r="A14" s="6" t="n">
        <v>0.5</v>
      </c>
      <c r="B14" s="7" t="n"/>
      <c r="C14" s="7" t="n"/>
      <c r="D14" s="8">
        <f>IF(C14&lt;&gt;"",C14/$B$4*1000,IF(B14&lt;&gt;"",($A14-B14)/$B$4*1000,""))</f>
        <v/>
      </c>
      <c r="E14" s="9" t="n">
        <v>0.4989</v>
      </c>
      <c r="F14" s="9" t="n">
        <v>0.0011</v>
      </c>
      <c r="G14" s="7" t="n"/>
      <c r="H14" s="7" t="n"/>
      <c r="I14" s="8">
        <f>IF(H14&lt;&gt;"",H14/$B$4*1000,IF(G14&lt;&gt;"",($A14-G14)/$B$4*1000,""))</f>
        <v/>
      </c>
      <c r="J14" s="9" t="n">
        <v>0.1259</v>
      </c>
      <c r="K14" s="9" t="n">
        <v>0.3741</v>
      </c>
      <c r="L14" s="7" t="n"/>
      <c r="M14" s="7" t="n"/>
      <c r="N14" s="8">
        <f>IF(M14&lt;&gt;"",M14/$B$4*1000,IF(L14&lt;&gt;"",($A14-L14)/$B$4*1000,""))</f>
        <v/>
      </c>
      <c r="O14" s="9" t="n">
        <v>0.0589</v>
      </c>
      <c r="P14" s="9" t="n">
        <v>0.4411</v>
      </c>
      <c r="Q14" s="7" t="n"/>
      <c r="R14" s="7" t="n"/>
      <c r="S14" s="8">
        <f>IF(R14&lt;&gt;"",R14/$B$4*1000,IF(Q14&lt;&gt;"",($A14-Q14)/$B$4*1000,""))</f>
        <v/>
      </c>
      <c r="T14" s="9" t="n">
        <v>0.0447</v>
      </c>
      <c r="U14" s="9" t="n">
        <v>0.4553</v>
      </c>
    </row>
    <row r="15">
      <c r="A15" s="6" t="n">
        <v>1</v>
      </c>
      <c r="B15" s="7" t="n"/>
      <c r="C15" s="7" t="n"/>
      <c r="D15" s="8">
        <f>IF(C15&lt;&gt;"",C15/$B$4*1000,IF(B15&lt;&gt;"",($A15-B15)/$B$4*1000,""))</f>
        <v/>
      </c>
      <c r="E15" s="9" t="n">
        <v>0.9989</v>
      </c>
      <c r="F15" s="9" t="n">
        <v>0.0011</v>
      </c>
      <c r="G15" s="7" t="n"/>
      <c r="H15" s="7" t="n"/>
      <c r="I15" s="8">
        <f>IF(H15&lt;&gt;"",H15/$B$4*1000,IF(G15&lt;&gt;"",($A15-G15)/$B$4*1000,""))</f>
        <v/>
      </c>
      <c r="J15" s="9" t="n">
        <v>0.5814</v>
      </c>
      <c r="K15" s="9" t="n">
        <v>0.4186</v>
      </c>
      <c r="L15" s="7" t="n"/>
      <c r="M15" s="7" t="n"/>
      <c r="N15" s="8">
        <f>IF(M15&lt;&gt;"",M15/$B$4*1000,IF(L15&lt;&gt;"",($A15-L15)/$B$4*1000,""))</f>
        <v/>
      </c>
      <c r="O15" s="9" t="n">
        <v>0.08890000000000001</v>
      </c>
      <c r="P15" s="9" t="n">
        <v>0.9111</v>
      </c>
      <c r="Q15" s="7" t="n"/>
      <c r="R15" s="7" t="n"/>
      <c r="S15" s="8">
        <f>IF(R15&lt;&gt;"",R15/$B$4*1000,IF(Q15&lt;&gt;"",($A15-Q15)/$B$4*1000,""))</f>
        <v/>
      </c>
      <c r="T15" s="9" t="n">
        <v>0.065</v>
      </c>
      <c r="U15" s="9" t="n">
        <v>0.9350000000000001</v>
      </c>
    </row>
    <row r="16">
      <c r="A16" s="6" t="n">
        <v>1.5</v>
      </c>
      <c r="B16" s="7" t="n"/>
      <c r="C16" s="7" t="n"/>
      <c r="D16" s="8">
        <f>IF(C16&lt;&gt;"",C16/$B$4*1000,IF(B16&lt;&gt;"",($A16-B16)/$B$4*1000,""))</f>
        <v/>
      </c>
      <c r="E16" s="9" t="n">
        <v>1.4989</v>
      </c>
      <c r="F16" s="9" t="n">
        <v>0.0011</v>
      </c>
      <c r="G16" s="7" t="n"/>
      <c r="H16" s="7" t="n"/>
      <c r="I16" s="8">
        <f>IF(H16&lt;&gt;"",H16/$B$4*1000,IF(G16&lt;&gt;"",($A16-G16)/$B$4*1000,""))</f>
        <v/>
      </c>
      <c r="J16" s="9" t="n">
        <v>1.0793</v>
      </c>
      <c r="K16" s="9" t="n">
        <v>0.4207</v>
      </c>
      <c r="L16" s="7" t="n"/>
      <c r="M16" s="7" t="n"/>
      <c r="N16" s="8">
        <f>IF(M16&lt;&gt;"",M16/$B$4*1000,IF(L16&lt;&gt;"",($A16-L16)/$B$4*1000,""))</f>
        <v/>
      </c>
      <c r="O16" s="9" t="n">
        <v>0.1179</v>
      </c>
      <c r="P16" s="9" t="n">
        <v>1.3821</v>
      </c>
      <c r="Q16" s="7" t="n"/>
      <c r="R16" s="7" t="n"/>
      <c r="S16" s="8">
        <f>IF(R16&lt;&gt;"",R16/$B$4*1000,IF(Q16&lt;&gt;"",($A16-Q16)/$B$4*1000,""))</f>
        <v/>
      </c>
      <c r="T16" s="9" t="n">
        <v>0.08</v>
      </c>
      <c r="U16" s="9" t="n">
        <v>1.42</v>
      </c>
    </row>
    <row r="17">
      <c r="A17" s="6" t="n">
        <v>2</v>
      </c>
      <c r="B17" s="7" t="n"/>
      <c r="C17" s="7" t="n"/>
      <c r="D17" s="8">
        <f>IF(C17&lt;&gt;"",C17/$B$4*1000,IF(B17&lt;&gt;"",($A17-B17)/$B$4*1000,""))</f>
        <v/>
      </c>
      <c r="E17" s="9" t="n">
        <v>1.9989</v>
      </c>
      <c r="F17" s="9" t="n">
        <v>0.0011</v>
      </c>
      <c r="G17" s="7" t="n"/>
      <c r="H17" s="7" t="n"/>
      <c r="I17" s="8">
        <f>IF(H17&lt;&gt;"",H17/$B$4*1000,IF(G17&lt;&gt;"",($A17-G17)/$B$4*1000,""))</f>
        <v/>
      </c>
      <c r="J17" s="9" t="n">
        <v>1.5772</v>
      </c>
      <c r="K17" s="9" t="n">
        <v>0.4228</v>
      </c>
      <c r="L17" s="7" t="n"/>
      <c r="M17" s="7" t="n"/>
      <c r="N17" s="8">
        <f>IF(M17&lt;&gt;"",M17/$B$4*1000,IF(L17&lt;&gt;"",($A17-L17)/$B$4*1000,""))</f>
        <v/>
      </c>
      <c r="O17" s="9" t="n">
        <v>0.1748</v>
      </c>
      <c r="P17" s="9" t="n">
        <v>1.8252</v>
      </c>
      <c r="Q17" s="7" t="n"/>
      <c r="R17" s="7" t="n"/>
      <c r="S17" s="8">
        <f>IF(R17&lt;&gt;"",R17/$B$4*1000,IF(Q17&lt;&gt;"",($A17-Q17)/$B$4*1000,""))</f>
        <v/>
      </c>
      <c r="T17" s="9" t="n">
        <v>0.09279999999999999</v>
      </c>
      <c r="U17" s="9" t="n">
        <v>1.9072</v>
      </c>
    </row>
    <row r="18">
      <c r="A18" s="6" t="n">
        <v>2.5</v>
      </c>
      <c r="B18" s="7" t="n"/>
      <c r="C18" s="7" t="n"/>
      <c r="D18" s="8">
        <f>IF(C18&lt;&gt;"",C18/$B$4*1000,IF(B18&lt;&gt;"",($A18-B18)/$B$4*1000,""))</f>
        <v/>
      </c>
      <c r="E18" s="9" t="n">
        <v>2.4988</v>
      </c>
      <c r="F18" s="9" t="n">
        <v>0.0012</v>
      </c>
      <c r="G18" s="7" t="n"/>
      <c r="H18" s="7" t="n"/>
      <c r="I18" s="8">
        <f>IF(H18&lt;&gt;"",H18/$B$4*1000,IF(G18&lt;&gt;"",($A18-G18)/$B$4*1000,""))</f>
        <v/>
      </c>
      <c r="J18" s="9" t="n">
        <v>2.0751</v>
      </c>
      <c r="K18" s="9" t="n">
        <v>0.4249</v>
      </c>
      <c r="L18" s="7" t="n"/>
      <c r="M18" s="7" t="n"/>
      <c r="N18" s="8">
        <f>IF(M18&lt;&gt;"",M18/$B$4*1000,IF(L18&lt;&gt;"",($A18-L18)/$B$4*1000,""))</f>
        <v/>
      </c>
      <c r="O18" s="9" t="n">
        <v>0.5859</v>
      </c>
      <c r="P18" s="9" t="n">
        <v>1.9141</v>
      </c>
      <c r="Q18" s="7" t="n"/>
      <c r="R18" s="7" t="n"/>
      <c r="S18" s="8">
        <f>IF(R18&lt;&gt;"",R18/$B$4*1000,IF(Q18&lt;&gt;"",($A18-Q18)/$B$4*1000,""))</f>
        <v/>
      </c>
      <c r="T18" s="9" t="n">
        <v>0.1049</v>
      </c>
      <c r="U18" s="9" t="n">
        <v>2.3951</v>
      </c>
    </row>
    <row r="19">
      <c r="A19" s="6" t="n">
        <v>3</v>
      </c>
      <c r="B19" s="7" t="n"/>
      <c r="C19" s="7" t="n"/>
      <c r="D19" s="8">
        <f>IF(C19&lt;&gt;"",C19/$B$4*1000,IF(B19&lt;&gt;"",($A19-B19)/$B$4*1000,""))</f>
        <v/>
      </c>
      <c r="E19" s="9" t="n">
        <v>2.9988</v>
      </c>
      <c r="F19" s="9" t="n">
        <v>0.0012</v>
      </c>
      <c r="G19" s="7" t="n"/>
      <c r="H19" s="7" t="n"/>
      <c r="I19" s="8">
        <f>IF(H19&lt;&gt;"",H19/$B$4*1000,IF(G19&lt;&gt;"",($A19-G19)/$B$4*1000,""))</f>
        <v/>
      </c>
      <c r="J19" s="9" t="n">
        <v>2.5731</v>
      </c>
      <c r="K19" s="9" t="n">
        <v>0.4269</v>
      </c>
      <c r="L19" s="7" t="n"/>
      <c r="M19" s="7" t="n"/>
      <c r="N19" s="8">
        <f>IF(M19&lt;&gt;"",M19/$B$4*1000,IF(L19&lt;&gt;"",($A19-L19)/$B$4*1000,""))</f>
        <v/>
      </c>
      <c r="O19" s="9" t="n">
        <v>1.0766</v>
      </c>
      <c r="P19" s="9" t="n">
        <v>1.9234</v>
      </c>
      <c r="Q19" s="7" t="n"/>
      <c r="R19" s="7" t="n"/>
      <c r="S19" s="8">
        <f>IF(R19&lt;&gt;"",R19/$B$4*1000,IF(Q19&lt;&gt;"",($A19-Q19)/$B$4*1000,""))</f>
        <v/>
      </c>
      <c r="T19" s="9" t="n">
        <v>0.1175</v>
      </c>
      <c r="U19" s="9" t="n">
        <v>2.8825</v>
      </c>
    </row>
    <row r="20">
      <c r="A20" s="6" t="n">
        <v>3.5</v>
      </c>
      <c r="B20" s="7" t="n"/>
      <c r="C20" s="7" t="n"/>
      <c r="D20" s="8">
        <f>IF(C20&lt;&gt;"",C20/$B$4*1000,IF(B20&lt;&gt;"",($A20-B20)/$B$4*1000,""))</f>
        <v/>
      </c>
      <c r="E20" s="9" t="n">
        <v>3.4988</v>
      </c>
      <c r="F20" s="9" t="n">
        <v>0.0012</v>
      </c>
      <c r="G20" s="7" t="n"/>
      <c r="H20" s="7" t="n"/>
      <c r="I20" s="8">
        <f>IF(H20&lt;&gt;"",H20/$B$4*1000,IF(G20&lt;&gt;"",($A20-G20)/$B$4*1000,""))</f>
        <v/>
      </c>
      <c r="J20" s="9" t="n">
        <v>3.071</v>
      </c>
      <c r="K20" s="9" t="n">
        <v>0.429</v>
      </c>
      <c r="L20" s="7" t="n"/>
      <c r="M20" s="7" t="n"/>
      <c r="N20" s="8">
        <f>IF(M20&lt;&gt;"",M20/$B$4*1000,IF(L20&lt;&gt;"",($A20-L20)/$B$4*1000,""))</f>
        <v/>
      </c>
      <c r="O20" s="9" t="n">
        <v>1.5672</v>
      </c>
      <c r="P20" s="9" t="n">
        <v>1.9328</v>
      </c>
      <c r="Q20" s="7" t="n"/>
      <c r="R20" s="7" t="n"/>
      <c r="S20" s="8">
        <f>IF(R20&lt;&gt;"",R20/$B$4*1000,IF(Q20&lt;&gt;"",($A20-Q20)/$B$4*1000,""))</f>
        <v/>
      </c>
      <c r="T20" s="9" t="n">
        <v>0.1319</v>
      </c>
      <c r="U20" s="9" t="n">
        <v>3.3681</v>
      </c>
    </row>
    <row r="21">
      <c r="A21" s="6" t="n">
        <v>4</v>
      </c>
      <c r="B21" s="7" t="n"/>
      <c r="C21" s="7" t="n"/>
      <c r="D21" s="8">
        <f>IF(C21&lt;&gt;"",C21/$B$4*1000,IF(B21&lt;&gt;"",($A21-B21)/$B$4*1000,""))</f>
        <v/>
      </c>
      <c r="E21" s="9" t="n">
        <v>3.9988</v>
      </c>
      <c r="F21" s="9" t="n">
        <v>0.0012</v>
      </c>
      <c r="G21" s="7" t="n"/>
      <c r="H21" s="7" t="n"/>
      <c r="I21" s="8">
        <f>IF(H21&lt;&gt;"",H21/$B$4*1000,IF(G21&lt;&gt;"",($A21-G21)/$B$4*1000,""))</f>
        <v/>
      </c>
      <c r="J21" s="9" t="n">
        <v>3.5689</v>
      </c>
      <c r="K21" s="9" t="n">
        <v>0.4311</v>
      </c>
      <c r="L21" s="7" t="n"/>
      <c r="M21" s="7" t="n"/>
      <c r="N21" s="8">
        <f>IF(M21&lt;&gt;"",M21/$B$4*1000,IF(L21&lt;&gt;"",($A21-L21)/$B$4*1000,""))</f>
        <v/>
      </c>
      <c r="O21" s="9" t="n">
        <v>2.0579</v>
      </c>
      <c r="P21" s="9" t="n">
        <v>1.9421</v>
      </c>
      <c r="Q21" s="7" t="n"/>
      <c r="R21" s="7" t="n"/>
      <c r="S21" s="8">
        <f>IF(R21&lt;&gt;"",R21/$B$4*1000,IF(Q21&lt;&gt;"",($A21-Q21)/$B$4*1000,""))</f>
        <v/>
      </c>
      <c r="T21" s="9" t="n">
        <v>0.1516</v>
      </c>
      <c r="U21" s="9" t="n">
        <v>3.8484</v>
      </c>
    </row>
    <row r="22">
      <c r="A22" s="6" t="n">
        <v>4.5</v>
      </c>
      <c r="B22" s="7" t="n"/>
      <c r="C22" s="7" t="n"/>
      <c r="D22" s="8">
        <f>IF(C22&lt;&gt;"",C22/$B$4*1000,IF(B22&lt;&gt;"",($A22-B22)/$B$4*1000,""))</f>
        <v/>
      </c>
      <c r="E22" s="9" t="n">
        <v>4.4988</v>
      </c>
      <c r="F22" s="9" t="n">
        <v>0.0012</v>
      </c>
      <c r="G22" s="7" t="n"/>
      <c r="H22" s="7" t="n"/>
      <c r="I22" s="8">
        <f>IF(H22&lt;&gt;"",H22/$B$4*1000,IF(G22&lt;&gt;"",($A22-G22)/$B$4*1000,""))</f>
        <v/>
      </c>
      <c r="J22" s="9" t="n">
        <v>4.0668</v>
      </c>
      <c r="K22" s="9" t="n">
        <v>0.4332</v>
      </c>
      <c r="L22" s="7" t="n"/>
      <c r="M22" s="7" t="n"/>
      <c r="N22" s="8">
        <f>IF(M22&lt;&gt;"",M22/$B$4*1000,IF(L22&lt;&gt;"",($A22-L22)/$B$4*1000,""))</f>
        <v/>
      </c>
      <c r="O22" s="9" t="n">
        <v>2.5486</v>
      </c>
      <c r="P22" s="9" t="n">
        <v>1.9514</v>
      </c>
      <c r="Q22" s="7" t="n"/>
      <c r="R22" s="7" t="n"/>
      <c r="S22" s="8">
        <f>IF(R22&lt;&gt;"",R22/$B$4*1000,IF(Q22&lt;&gt;"",($A22-Q22)/$B$4*1000,""))</f>
        <v/>
      </c>
      <c r="T22" s="9" t="n">
        <v>0.1955</v>
      </c>
      <c r="U22" s="9" t="n">
        <v>4.3045</v>
      </c>
    </row>
    <row r="23">
      <c r="A23" s="6" t="n">
        <v>5</v>
      </c>
      <c r="B23" s="7" t="n"/>
      <c r="C23" s="7" t="n"/>
      <c r="D23" s="8">
        <f>IF(C23&lt;&gt;"",C23/$B$4*1000,IF(B23&lt;&gt;"",($A23-B23)/$B$4*1000,""))</f>
        <v/>
      </c>
      <c r="E23" s="9" t="n">
        <v>4.9988</v>
      </c>
      <c r="F23" s="9" t="n">
        <v>0.0012</v>
      </c>
      <c r="G23" s="7" t="n"/>
      <c r="H23" s="7" t="n"/>
      <c r="I23" s="8">
        <f>IF(H23&lt;&gt;"",H23/$B$4*1000,IF(G23&lt;&gt;"",($A23-G23)/$B$4*1000,""))</f>
        <v/>
      </c>
      <c r="J23" s="9" t="n">
        <v>4.5647</v>
      </c>
      <c r="K23" s="9" t="n">
        <v>0.4353</v>
      </c>
      <c r="L23" s="7" t="n"/>
      <c r="M23" s="7" t="n"/>
      <c r="N23" s="8">
        <f>IF(M23&lt;&gt;"",M23/$B$4*1000,IF(L23&lt;&gt;"",($A23-L23)/$B$4*1000,""))</f>
        <v/>
      </c>
      <c r="O23" s="9" t="n">
        <v>3.0392</v>
      </c>
      <c r="P23" s="9" t="n">
        <v>1.9608</v>
      </c>
      <c r="Q23" s="7" t="n"/>
      <c r="R23" s="7" t="n"/>
      <c r="S23" s="8">
        <f>IF(R23&lt;&gt;"",R23/$B$4*1000,IF(Q23&lt;&gt;"",($A23-Q23)/$B$4*1000,""))</f>
        <v/>
      </c>
      <c r="T23" s="9" t="n">
        <v>0.5596</v>
      </c>
      <c r="U23" s="9" t="n">
        <v>4.4404</v>
      </c>
    </row>
    <row r="24">
      <c r="A24" s="6" t="n">
        <v>5.5</v>
      </c>
      <c r="B24" s="7" t="n"/>
      <c r="C24" s="7" t="n"/>
      <c r="D24" s="8">
        <f>IF(C24&lt;&gt;"",C24/$B$4*1000,IF(B24&lt;&gt;"",($A24-B24)/$B$4*1000,""))</f>
        <v/>
      </c>
      <c r="E24" s="9" t="n">
        <v>5.4988</v>
      </c>
      <c r="F24" s="9" t="n">
        <v>0.0012</v>
      </c>
      <c r="G24" s="7" t="n"/>
      <c r="H24" s="7" t="n"/>
      <c r="I24" s="8">
        <f>IF(H24&lt;&gt;"",H24/$B$4*1000,IF(G24&lt;&gt;"",($A24-G24)/$B$4*1000,""))</f>
        <v/>
      </c>
      <c r="J24" s="9" t="n">
        <v>5.0627</v>
      </c>
      <c r="K24" s="9" t="n">
        <v>0.4373</v>
      </c>
      <c r="L24" s="7" t="n"/>
      <c r="M24" s="7" t="n"/>
      <c r="N24" s="8">
        <f>IF(M24&lt;&gt;"",M24/$B$4*1000,IF(L24&lt;&gt;"",($A24-L24)/$B$4*1000,""))</f>
        <v/>
      </c>
      <c r="O24" s="9" t="n">
        <v>3.5299</v>
      </c>
      <c r="P24" s="9" t="n">
        <v>1.9701</v>
      </c>
      <c r="Q24" s="7" t="n"/>
      <c r="R24" s="7" t="n"/>
      <c r="S24" s="8">
        <f>IF(R24&lt;&gt;"",R24/$B$4*1000,IF(Q24&lt;&gt;"",($A24-Q24)/$B$4*1000,""))</f>
        <v/>
      </c>
      <c r="T24" s="9" t="n">
        <v>1.0385</v>
      </c>
      <c r="U24" s="9" t="n">
        <v>4.4615</v>
      </c>
    </row>
    <row r="25">
      <c r="A25" s="6" t="n">
        <v>6</v>
      </c>
      <c r="B25" s="7" t="n"/>
      <c r="C25" s="7" t="n"/>
      <c r="D25" s="8">
        <f>IF(C25&lt;&gt;"",C25/$B$4*1000,IF(B25&lt;&gt;"",($A25-B25)/$B$4*1000,""))</f>
        <v/>
      </c>
      <c r="E25" s="9" t="n">
        <v>5.9988</v>
      </c>
      <c r="F25" s="9" t="n">
        <v>0.0012</v>
      </c>
      <c r="G25" s="7" t="n"/>
      <c r="H25" s="7" t="n"/>
      <c r="I25" s="8">
        <f>IF(H25&lt;&gt;"",H25/$B$4*1000,IF(G25&lt;&gt;"",($A25-G25)/$B$4*1000,""))</f>
        <v/>
      </c>
      <c r="J25" s="9" t="n">
        <v>5.5606</v>
      </c>
      <c r="K25" s="9" t="n">
        <v>0.4394</v>
      </c>
      <c r="L25" s="7" t="n"/>
      <c r="M25" s="7" t="n"/>
      <c r="N25" s="8">
        <f>IF(M25&lt;&gt;"",M25/$B$4*1000,IF(L25&lt;&gt;"",($A25-L25)/$B$4*1000,""))</f>
        <v/>
      </c>
      <c r="O25" s="9" t="n">
        <v>4.0206</v>
      </c>
      <c r="P25" s="9" t="n">
        <v>1.9794</v>
      </c>
      <c r="Q25" s="7" t="n"/>
      <c r="R25" s="7" t="n"/>
      <c r="S25" s="8">
        <f>IF(R25&lt;&gt;"",R25/$B$4*1000,IF(Q25&lt;&gt;"",($A25-Q25)/$B$4*1000,""))</f>
        <v/>
      </c>
      <c r="T25" s="9" t="n">
        <v>1.5174</v>
      </c>
      <c r="U25" s="9" t="n">
        <v>4.4826</v>
      </c>
    </row>
    <row r="26">
      <c r="A26" s="6" t="n">
        <v>6.5</v>
      </c>
      <c r="B26" s="7" t="n"/>
      <c r="C26" s="7" t="n"/>
      <c r="D26" s="8">
        <f>IF(C26&lt;&gt;"",C26/$B$4*1000,IF(B26&lt;&gt;"",($A26-B26)/$B$4*1000,""))</f>
        <v/>
      </c>
      <c r="E26" s="9" t="n">
        <v>6.4988</v>
      </c>
      <c r="F26" s="9" t="n">
        <v>0.0012</v>
      </c>
      <c r="G26" s="7" t="n"/>
      <c r="H26" s="7" t="n"/>
      <c r="I26" s="8">
        <f>IF(H26&lt;&gt;"",H26/$B$4*1000,IF(G26&lt;&gt;"",($A26-G26)/$B$4*1000,""))</f>
        <v/>
      </c>
      <c r="J26" s="9" t="n">
        <v>6.0585</v>
      </c>
      <c r="K26" s="9" t="n">
        <v>0.4415</v>
      </c>
      <c r="L26" s="7" t="n"/>
      <c r="M26" s="7" t="n"/>
      <c r="N26" s="8">
        <f>IF(M26&lt;&gt;"",M26/$B$4*1000,IF(L26&lt;&gt;"",($A26-L26)/$B$4*1000,""))</f>
        <v/>
      </c>
      <c r="O26" s="9" t="n">
        <v>4.5112</v>
      </c>
      <c r="P26" s="9" t="n">
        <v>1.9888</v>
      </c>
      <c r="Q26" s="7" t="n"/>
      <c r="R26" s="7" t="n"/>
      <c r="S26" s="8">
        <f>IF(R26&lt;&gt;"",R26/$B$4*1000,IF(Q26&lt;&gt;"",($A26-Q26)/$B$4*1000,""))</f>
        <v/>
      </c>
      <c r="T26" s="9" t="n">
        <v>1.9963</v>
      </c>
      <c r="U26" s="9" t="n">
        <v>4.5037</v>
      </c>
    </row>
    <row r="27">
      <c r="A27" s="6" t="n">
        <v>7</v>
      </c>
      <c r="B27" s="7" t="n"/>
      <c r="C27" s="7" t="n"/>
      <c r="D27" s="8">
        <f>IF(C27&lt;&gt;"",C27/$B$4*1000,IF(B27&lt;&gt;"",($A27-B27)/$B$4*1000,""))</f>
        <v/>
      </c>
      <c r="E27" s="9" t="n">
        <v>6.9988</v>
      </c>
      <c r="F27" s="9" t="n">
        <v>0.0012</v>
      </c>
      <c r="G27" s="7" t="n"/>
      <c r="H27" s="7" t="n"/>
      <c r="I27" s="8">
        <f>IF(H27&lt;&gt;"",H27/$B$4*1000,IF(G27&lt;&gt;"",($A27-G27)/$B$4*1000,""))</f>
        <v/>
      </c>
      <c r="J27" s="9" t="n">
        <v>6.5564</v>
      </c>
      <c r="K27" s="9" t="n">
        <v>0.4436</v>
      </c>
      <c r="L27" s="7" t="n"/>
      <c r="M27" s="7" t="n"/>
      <c r="N27" s="8">
        <f>IF(M27&lt;&gt;"",M27/$B$4*1000,IF(L27&lt;&gt;"",($A27-L27)/$B$4*1000,""))</f>
        <v/>
      </c>
      <c r="O27" s="9" t="n">
        <v>5.0019</v>
      </c>
      <c r="P27" s="9" t="n">
        <v>1.9981</v>
      </c>
      <c r="Q27" s="7" t="n"/>
      <c r="R27" s="7" t="n"/>
      <c r="S27" s="8">
        <f>IF(R27&lt;&gt;"",R27/$B$4*1000,IF(Q27&lt;&gt;"",($A27-Q27)/$B$4*1000,""))</f>
        <v/>
      </c>
      <c r="T27" s="9" t="n">
        <v>2.4752</v>
      </c>
      <c r="U27" s="9" t="n">
        <v>4.5248</v>
      </c>
    </row>
    <row r="28">
      <c r="A28" s="6" t="n">
        <v>7.5</v>
      </c>
      <c r="B28" s="7" t="n"/>
      <c r="C28" s="7" t="n"/>
      <c r="D28" s="8">
        <f>IF(C28&lt;&gt;"",C28/$B$4*1000,IF(B28&lt;&gt;"",($A28-B28)/$B$4*1000,""))</f>
        <v/>
      </c>
      <c r="E28" s="9" t="n">
        <v>7.4988</v>
      </c>
      <c r="F28" s="9" t="n">
        <v>0.0012</v>
      </c>
      <c r="G28" s="7" t="n"/>
      <c r="H28" s="7" t="n"/>
      <c r="I28" s="8">
        <f>IF(H28&lt;&gt;"",H28/$B$4*1000,IF(G28&lt;&gt;"",($A28-G28)/$B$4*1000,""))</f>
        <v/>
      </c>
      <c r="J28" s="9" t="n">
        <v>7.0543</v>
      </c>
      <c r="K28" s="9" t="n">
        <v>0.4457</v>
      </c>
      <c r="L28" s="7" t="n"/>
      <c r="M28" s="7" t="n"/>
      <c r="N28" s="8">
        <f>IF(M28&lt;&gt;"",M28/$B$4*1000,IF(L28&lt;&gt;"",($A28-L28)/$B$4*1000,""))</f>
        <v/>
      </c>
      <c r="O28" s="9" t="n">
        <v>5.4926</v>
      </c>
      <c r="P28" s="9" t="n">
        <v>2.0074</v>
      </c>
      <c r="Q28" s="7" t="n"/>
      <c r="R28" s="7" t="n"/>
      <c r="S28" s="8">
        <f>IF(R28&lt;&gt;"",R28/$B$4*1000,IF(Q28&lt;&gt;"",($A28-Q28)/$B$4*1000,""))</f>
        <v/>
      </c>
      <c r="T28" s="9" t="n">
        <v>2.9541</v>
      </c>
      <c r="U28" s="9" t="n">
        <v>4.5459</v>
      </c>
    </row>
    <row r="29">
      <c r="A29" s="6" t="n">
        <v>8</v>
      </c>
      <c r="B29" s="7" t="n"/>
      <c r="C29" s="7" t="n"/>
      <c r="D29" s="8">
        <f>IF(C29&lt;&gt;"",C29/$B$4*1000,IF(B29&lt;&gt;"",($A29-B29)/$B$4*1000,""))</f>
        <v/>
      </c>
      <c r="E29" s="9" t="n">
        <v>7.9988</v>
      </c>
      <c r="F29" s="9" t="n">
        <v>0.0012</v>
      </c>
      <c r="G29" s="7" t="n"/>
      <c r="H29" s="7" t="n"/>
      <c r="I29" s="8">
        <f>IF(H29&lt;&gt;"",H29/$B$4*1000,IF(G29&lt;&gt;"",($A29-G29)/$B$4*1000,""))</f>
        <v/>
      </c>
      <c r="J29" s="9" t="n">
        <v>7.5523</v>
      </c>
      <c r="K29" s="9" t="n">
        <v>0.4477</v>
      </c>
      <c r="L29" s="7" t="n"/>
      <c r="M29" s="7" t="n"/>
      <c r="N29" s="8">
        <f>IF(M29&lt;&gt;"",M29/$B$4*1000,IF(L29&lt;&gt;"",($A29-L29)/$B$4*1000,""))</f>
        <v/>
      </c>
      <c r="O29" s="9" t="n">
        <v>5.9832</v>
      </c>
      <c r="P29" s="9" t="n">
        <v>2.0168</v>
      </c>
      <c r="Q29" s="7" t="n"/>
      <c r="R29" s="7" t="n"/>
      <c r="S29" s="8">
        <f>IF(R29&lt;&gt;"",R29/$B$4*1000,IF(Q29&lt;&gt;"",($A29-Q29)/$B$4*1000,""))</f>
        <v/>
      </c>
      <c r="T29" s="9" t="n">
        <v>3.433</v>
      </c>
      <c r="U29" s="9" t="n">
        <v>4.567</v>
      </c>
    </row>
    <row r="30">
      <c r="A30" s="6" t="n">
        <v>8.5</v>
      </c>
      <c r="B30" s="7" t="n"/>
      <c r="C30" s="7" t="n"/>
      <c r="D30" s="8">
        <f>IF(C30&lt;&gt;"",C30/$B$4*1000,IF(B30&lt;&gt;"",($A30-B30)/$B$4*1000,""))</f>
        <v/>
      </c>
      <c r="E30" s="9" t="n">
        <v>8.498799999999999</v>
      </c>
      <c r="F30" s="9" t="n">
        <v>0.0012</v>
      </c>
      <c r="G30" s="7" t="n"/>
      <c r="H30" s="7" t="n"/>
      <c r="I30" s="8">
        <f>IF(H30&lt;&gt;"",H30/$B$4*1000,IF(G30&lt;&gt;"",($A30-G30)/$B$4*1000,""))</f>
        <v/>
      </c>
      <c r="J30" s="9" t="n">
        <v>8.0502</v>
      </c>
      <c r="K30" s="9" t="n">
        <v>0.4498</v>
      </c>
      <c r="L30" s="7" t="n"/>
      <c r="M30" s="7" t="n"/>
      <c r="N30" s="8">
        <f>IF(M30&lt;&gt;"",M30/$B$4*1000,IF(L30&lt;&gt;"",($A30-L30)/$B$4*1000,""))</f>
        <v/>
      </c>
      <c r="O30" s="9" t="n">
        <v>6.4739</v>
      </c>
      <c r="P30" s="9" t="n">
        <v>2.0261</v>
      </c>
      <c r="Q30" s="7" t="n"/>
      <c r="R30" s="7" t="n"/>
      <c r="S30" s="8">
        <f>IF(R30&lt;&gt;"",R30/$B$4*1000,IF(Q30&lt;&gt;"",($A30-Q30)/$B$4*1000,""))</f>
        <v/>
      </c>
      <c r="T30" s="9" t="n">
        <v>3.9119</v>
      </c>
      <c r="U30" s="9" t="n">
        <v>4.5881</v>
      </c>
    </row>
    <row r="31">
      <c r="A31" s="6" t="n">
        <v>9</v>
      </c>
      <c r="B31" s="7" t="n"/>
      <c r="C31" s="7" t="n"/>
      <c r="D31" s="8">
        <f>IF(C31&lt;&gt;"",C31/$B$4*1000,IF(B31&lt;&gt;"",($A31-B31)/$B$4*1000,""))</f>
        <v/>
      </c>
      <c r="E31" s="9" t="n">
        <v>8.998799999999999</v>
      </c>
      <c r="F31" s="9" t="n">
        <v>0.0012</v>
      </c>
      <c r="G31" s="7" t="n"/>
      <c r="H31" s="7" t="n"/>
      <c r="I31" s="8">
        <f>IF(H31&lt;&gt;"",H31/$B$4*1000,IF(G31&lt;&gt;"",($A31-G31)/$B$4*1000,""))</f>
        <v/>
      </c>
      <c r="J31" s="9" t="n">
        <v>8.5481</v>
      </c>
      <c r="K31" s="9" t="n">
        <v>0.4519</v>
      </c>
      <c r="L31" s="7" t="n"/>
      <c r="M31" s="7" t="n"/>
      <c r="N31" s="8">
        <f>IF(M31&lt;&gt;"",M31/$B$4*1000,IF(L31&lt;&gt;"",($A31-L31)/$B$4*1000,""))</f>
        <v/>
      </c>
      <c r="O31" s="9" t="n">
        <v>6.9646</v>
      </c>
      <c r="P31" s="9" t="n">
        <v>2.0354</v>
      </c>
      <c r="Q31" s="7" t="n"/>
      <c r="R31" s="7" t="n"/>
      <c r="S31" s="8">
        <f>IF(R31&lt;&gt;"",R31/$B$4*1000,IF(Q31&lt;&gt;"",($A31-Q31)/$B$4*1000,""))</f>
        <v/>
      </c>
      <c r="T31" s="9" t="n">
        <v>4.3908</v>
      </c>
      <c r="U31" s="9" t="n">
        <v>4.6092</v>
      </c>
    </row>
    <row r="32">
      <c r="A32" s="6" t="n">
        <v>9.5</v>
      </c>
      <c r="B32" s="7" t="n"/>
      <c r="C32" s="7" t="n"/>
      <c r="D32" s="8">
        <f>IF(C32&lt;&gt;"",C32/$B$4*1000,IF(B32&lt;&gt;"",($A32-B32)/$B$4*1000,""))</f>
        <v/>
      </c>
      <c r="E32" s="9" t="n">
        <v>9.498799999999999</v>
      </c>
      <c r="F32" s="9" t="n">
        <v>0.0012</v>
      </c>
      <c r="G32" s="7" t="n"/>
      <c r="H32" s="7" t="n"/>
      <c r="I32" s="8">
        <f>IF(H32&lt;&gt;"",H32/$B$4*1000,IF(G32&lt;&gt;"",($A32-G32)/$B$4*1000,""))</f>
        <v/>
      </c>
      <c r="J32" s="9" t="n">
        <v>9.045999999999999</v>
      </c>
      <c r="K32" s="9" t="n">
        <v>0.454</v>
      </c>
      <c r="L32" s="7" t="n"/>
      <c r="M32" s="7" t="n"/>
      <c r="N32" s="8">
        <f>IF(M32&lt;&gt;"",M32/$B$4*1000,IF(L32&lt;&gt;"",($A32-L32)/$B$4*1000,""))</f>
        <v/>
      </c>
      <c r="O32" s="9" t="n">
        <v>7.4552</v>
      </c>
      <c r="P32" s="9" t="n">
        <v>2.0448</v>
      </c>
      <c r="Q32" s="7" t="n"/>
      <c r="R32" s="7" t="n"/>
      <c r="S32" s="8">
        <f>IF(R32&lt;&gt;"",R32/$B$4*1000,IF(Q32&lt;&gt;"",($A32-Q32)/$B$4*1000,""))</f>
        <v/>
      </c>
      <c r="T32" s="9" t="n">
        <v>4.8698</v>
      </c>
      <c r="U32" s="9" t="n">
        <v>4.6302</v>
      </c>
    </row>
    <row r="33">
      <c r="A33" s="6" t="n">
        <v>10</v>
      </c>
      <c r="B33" s="7" t="n"/>
      <c r="C33" s="7" t="n"/>
      <c r="D33" s="8">
        <f>IF(C33&lt;&gt;"",C33/$B$4*1000,IF(B33&lt;&gt;"",($A33-B33)/$B$4*1000,""))</f>
        <v/>
      </c>
      <c r="E33" s="9" t="n">
        <v>9.998799999999999</v>
      </c>
      <c r="F33" s="9" t="n">
        <v>0.0012</v>
      </c>
      <c r="G33" s="7" t="n"/>
      <c r="H33" s="7" t="n"/>
      <c r="I33" s="8">
        <f>IF(H33&lt;&gt;"",H33/$B$4*1000,IF(G33&lt;&gt;"",($A33-G33)/$B$4*1000,""))</f>
        <v/>
      </c>
      <c r="J33" s="9" t="n">
        <v>9.543900000000001</v>
      </c>
      <c r="K33" s="9" t="n">
        <v>0.4561</v>
      </c>
      <c r="L33" s="7" t="n"/>
      <c r="M33" s="7" t="n"/>
      <c r="N33" s="8">
        <f>IF(M33&lt;&gt;"",M33/$B$4*1000,IF(L33&lt;&gt;"",($A33-L33)/$B$4*1000,""))</f>
        <v/>
      </c>
      <c r="O33" s="9" t="n">
        <v>7.9459</v>
      </c>
      <c r="P33" s="9" t="n">
        <v>2.0541</v>
      </c>
      <c r="Q33" s="7" t="n"/>
      <c r="R33" s="7" t="n"/>
      <c r="S33" s="8">
        <f>IF(R33&lt;&gt;"",R33/$B$4*1000,IF(Q33&lt;&gt;"",($A33-Q33)/$B$4*1000,""))</f>
        <v/>
      </c>
      <c r="T33" s="9" t="n">
        <v>5.3487</v>
      </c>
      <c r="U33" s="9" t="n">
        <v>4.6513</v>
      </c>
    </row>
    <row r="34">
      <c r="A34" s="6" t="n">
        <v>10.5</v>
      </c>
      <c r="B34" s="7" t="n"/>
      <c r="C34" s="7" t="n"/>
      <c r="D34" s="8">
        <f>IF(C34&lt;&gt;"",C34/$B$4*1000,IF(B34&lt;&gt;"",($A34-B34)/$B$4*1000,""))</f>
        <v/>
      </c>
      <c r="E34" s="9" t="n">
        <v>10.4988</v>
      </c>
      <c r="F34" s="9" t="n">
        <v>0.0012</v>
      </c>
      <c r="G34" s="7" t="n"/>
      <c r="H34" s="7" t="n"/>
      <c r="I34" s="8">
        <f>IF(H34&lt;&gt;"",H34/$B$4*1000,IF(G34&lt;&gt;"",($A34-G34)/$B$4*1000,""))</f>
        <v/>
      </c>
      <c r="J34" s="9" t="n">
        <v>10.0419</v>
      </c>
      <c r="K34" s="9" t="n">
        <v>0.4581</v>
      </c>
      <c r="L34" s="7" t="n"/>
      <c r="M34" s="7" t="n"/>
      <c r="N34" s="8">
        <f>IF(M34&lt;&gt;"",M34/$B$4*1000,IF(L34&lt;&gt;"",($A34-L34)/$B$4*1000,""))</f>
        <v/>
      </c>
      <c r="O34" s="9" t="n">
        <v>8.4366</v>
      </c>
      <c r="P34" s="9" t="n">
        <v>2.0634</v>
      </c>
      <c r="Q34" s="7" t="n"/>
      <c r="R34" s="7" t="n"/>
      <c r="S34" s="8">
        <f>IF(R34&lt;&gt;"",R34/$B$4*1000,IF(Q34&lt;&gt;"",($A34-Q34)/$B$4*1000,""))</f>
        <v/>
      </c>
      <c r="T34" s="9" t="n">
        <v>5.8276</v>
      </c>
      <c r="U34" s="9" t="n">
        <v>4.6724</v>
      </c>
    </row>
    <row r="35">
      <c r="A35" s="6" t="n">
        <v>11</v>
      </c>
      <c r="B35" s="7" t="n"/>
      <c r="C35" s="7" t="n"/>
      <c r="D35" s="8">
        <f>IF(C35&lt;&gt;"",C35/$B$4*1000,IF(B35&lt;&gt;"",($A35-B35)/$B$4*1000,""))</f>
        <v/>
      </c>
      <c r="E35" s="9" t="n">
        <v>10.9988</v>
      </c>
      <c r="F35" s="9" t="n">
        <v>0.0012</v>
      </c>
      <c r="G35" s="7" t="n"/>
      <c r="H35" s="7" t="n"/>
      <c r="I35" s="8">
        <f>IF(H35&lt;&gt;"",H35/$B$4*1000,IF(G35&lt;&gt;"",($A35-G35)/$B$4*1000,""))</f>
        <v/>
      </c>
      <c r="J35" s="9" t="n">
        <v>10.5398</v>
      </c>
      <c r="K35" s="9" t="n">
        <v>0.4602</v>
      </c>
      <c r="L35" s="7" t="n"/>
      <c r="M35" s="7" t="n"/>
      <c r="N35" s="8">
        <f>IF(M35&lt;&gt;"",M35/$B$4*1000,IF(L35&lt;&gt;"",($A35-L35)/$B$4*1000,""))</f>
        <v/>
      </c>
      <c r="O35" s="9" t="n">
        <v>8.927300000000001</v>
      </c>
      <c r="P35" s="9" t="n">
        <v>2.0727</v>
      </c>
      <c r="Q35" s="7" t="n"/>
      <c r="R35" s="7" t="n"/>
      <c r="S35" s="8">
        <f>IF(R35&lt;&gt;"",R35/$B$4*1000,IF(Q35&lt;&gt;"",($A35-Q35)/$B$4*1000,""))</f>
        <v/>
      </c>
      <c r="T35" s="9" t="n">
        <v>6.3065</v>
      </c>
      <c r="U35" s="9" t="n">
        <v>4.6935</v>
      </c>
    </row>
    <row r="36">
      <c r="A36" s="6" t="n">
        <v>11.5</v>
      </c>
      <c r="B36" s="7" t="n"/>
      <c r="C36" s="7" t="n"/>
      <c r="D36" s="8">
        <f>IF(C36&lt;&gt;"",C36/$B$4*1000,IF(B36&lt;&gt;"",($A36-B36)/$B$4*1000,""))</f>
        <v/>
      </c>
      <c r="E36" s="9" t="n">
        <v>11.4987</v>
      </c>
      <c r="F36" s="9" t="n">
        <v>0.0013</v>
      </c>
      <c r="G36" s="7" t="n"/>
      <c r="H36" s="7" t="n"/>
      <c r="I36" s="8">
        <f>IF(H36&lt;&gt;"",H36/$B$4*1000,IF(G36&lt;&gt;"",($A36-G36)/$B$4*1000,""))</f>
        <v/>
      </c>
      <c r="J36" s="9" t="n">
        <v>11.0377</v>
      </c>
      <c r="K36" s="9" t="n">
        <v>0.4623</v>
      </c>
      <c r="L36" s="7" t="n"/>
      <c r="M36" s="7" t="n"/>
      <c r="N36" s="8">
        <f>IF(M36&lt;&gt;"",M36/$B$4*1000,IF(L36&lt;&gt;"",($A36-L36)/$B$4*1000,""))</f>
        <v/>
      </c>
      <c r="O36" s="9" t="n">
        <v>9.417899999999999</v>
      </c>
      <c r="P36" s="9" t="n">
        <v>2.0821</v>
      </c>
      <c r="Q36" s="7" t="n"/>
      <c r="R36" s="7" t="n"/>
      <c r="S36" s="8">
        <f>IF(R36&lt;&gt;"",R36/$B$4*1000,IF(Q36&lt;&gt;"",($A36-Q36)/$B$4*1000,""))</f>
        <v/>
      </c>
      <c r="T36" s="9" t="n">
        <v>6.7854</v>
      </c>
      <c r="U36" s="9" t="n">
        <v>4.7146</v>
      </c>
    </row>
    <row r="37">
      <c r="A37" s="6" t="n">
        <v>12</v>
      </c>
      <c r="B37" s="7" t="n"/>
      <c r="C37" s="7" t="n"/>
      <c r="D37" s="8">
        <f>IF(C37&lt;&gt;"",C37/$B$4*1000,IF(B37&lt;&gt;"",($A37-B37)/$B$4*1000,""))</f>
        <v/>
      </c>
      <c r="E37" s="9" t="n">
        <v>11.9987</v>
      </c>
      <c r="F37" s="9" t="n">
        <v>0.0013</v>
      </c>
      <c r="G37" s="7" t="n"/>
      <c r="H37" s="7" t="n"/>
      <c r="I37" s="8">
        <f>IF(H37&lt;&gt;"",H37/$B$4*1000,IF(G37&lt;&gt;"",($A37-G37)/$B$4*1000,""))</f>
        <v/>
      </c>
      <c r="J37" s="9" t="n">
        <v>11.5356</v>
      </c>
      <c r="K37" s="9" t="n">
        <v>0.4644</v>
      </c>
      <c r="L37" s="7" t="n"/>
      <c r="M37" s="7" t="n"/>
      <c r="N37" s="8">
        <f>IF(M37&lt;&gt;"",M37/$B$4*1000,IF(L37&lt;&gt;"",($A37-L37)/$B$4*1000,""))</f>
        <v/>
      </c>
      <c r="O37" s="9" t="n">
        <v>9.9086</v>
      </c>
      <c r="P37" s="9" t="n">
        <v>2.0914</v>
      </c>
      <c r="Q37" s="7" t="n"/>
      <c r="R37" s="7" t="n"/>
      <c r="S37" s="8">
        <f>IF(R37&lt;&gt;"",R37/$B$4*1000,IF(Q37&lt;&gt;"",($A37-Q37)/$B$4*1000,""))</f>
        <v/>
      </c>
      <c r="T37" s="9" t="n">
        <v>7.2643</v>
      </c>
      <c r="U37" s="9" t="n">
        <v>4.7357</v>
      </c>
    </row>
    <row r="38">
      <c r="A38" s="6" t="n">
        <v>12.5</v>
      </c>
      <c r="B38" s="7" t="n"/>
      <c r="C38" s="7" t="n"/>
      <c r="D38" s="8">
        <f>IF(C38&lt;&gt;"",C38/$B$4*1000,IF(B38&lt;&gt;"",($A38-B38)/$B$4*1000,""))</f>
        <v/>
      </c>
      <c r="E38" s="9" t="n">
        <v>12.4987</v>
      </c>
      <c r="F38" s="9" t="n">
        <v>0.0013</v>
      </c>
      <c r="G38" s="7" t="n"/>
      <c r="H38" s="7" t="n"/>
      <c r="I38" s="8">
        <f>IF(H38&lt;&gt;"",H38/$B$4*1000,IF(G38&lt;&gt;"",($A38-G38)/$B$4*1000,""))</f>
        <v/>
      </c>
      <c r="J38" s="9" t="n">
        <v>12.0335</v>
      </c>
      <c r="K38" s="9" t="n">
        <v>0.4665</v>
      </c>
      <c r="L38" s="7" t="n"/>
      <c r="M38" s="7" t="n"/>
      <c r="N38" s="8">
        <f>IF(M38&lt;&gt;"",M38/$B$4*1000,IF(L38&lt;&gt;"",($A38-L38)/$B$4*1000,""))</f>
        <v/>
      </c>
      <c r="O38" s="9" t="n">
        <v>10.3993</v>
      </c>
      <c r="P38" s="9" t="n">
        <v>2.1007</v>
      </c>
      <c r="Q38" s="7" t="n"/>
      <c r="R38" s="7" t="n"/>
      <c r="S38" s="8">
        <f>IF(R38&lt;&gt;"",R38/$B$4*1000,IF(Q38&lt;&gt;"",($A38-Q38)/$B$4*1000,""))</f>
        <v/>
      </c>
      <c r="T38" s="9" t="n">
        <v>7.7432</v>
      </c>
      <c r="U38" s="9" t="n">
        <v>4.7568</v>
      </c>
    </row>
    <row r="39">
      <c r="A39" s="6" t="n">
        <v>13</v>
      </c>
      <c r="B39" s="7" t="n"/>
      <c r="C39" s="7" t="n"/>
      <c r="D39" s="8">
        <f>IF(C39&lt;&gt;"",C39/$B$4*1000,IF(B39&lt;&gt;"",($A39-B39)/$B$4*1000,""))</f>
        <v/>
      </c>
      <c r="E39" s="9" t="n">
        <v>12.9987</v>
      </c>
      <c r="F39" s="9" t="n">
        <v>0.0013</v>
      </c>
      <c r="G39" s="7" t="n"/>
      <c r="H39" s="7" t="n"/>
      <c r="I39" s="8">
        <f>IF(H39&lt;&gt;"",H39/$B$4*1000,IF(G39&lt;&gt;"",($A39-G39)/$B$4*1000,""))</f>
        <v/>
      </c>
      <c r="J39" s="9" t="n">
        <v>12.5315</v>
      </c>
      <c r="K39" s="9" t="n">
        <v>0.4685</v>
      </c>
      <c r="L39" s="7" t="n"/>
      <c r="M39" s="7" t="n"/>
      <c r="N39" s="8">
        <f>IF(M39&lt;&gt;"",M39/$B$4*1000,IF(L39&lt;&gt;"",($A39-L39)/$B$4*1000,""))</f>
        <v/>
      </c>
      <c r="O39" s="9" t="n">
        <v>10.89</v>
      </c>
      <c r="P39" s="9" t="n">
        <v>2.11</v>
      </c>
      <c r="Q39" s="7" t="n"/>
      <c r="R39" s="7" t="n"/>
      <c r="S39" s="8">
        <f>IF(R39&lt;&gt;"",R39/$B$4*1000,IF(Q39&lt;&gt;"",($A39-Q39)/$B$4*1000,""))</f>
        <v/>
      </c>
      <c r="T39" s="9" t="n">
        <v>8.222200000000001</v>
      </c>
      <c r="U39" s="9" t="n">
        <v>4.7778</v>
      </c>
    </row>
    <row r="40">
      <c r="A40" s="6" t="n">
        <v>13.5</v>
      </c>
      <c r="B40" s="7" t="n"/>
      <c r="C40" s="7" t="n"/>
      <c r="D40" s="8">
        <f>IF(C40&lt;&gt;"",C40/$B$4*1000,IF(B40&lt;&gt;"",($A40-B40)/$B$4*1000,""))</f>
        <v/>
      </c>
      <c r="E40" s="9" t="n">
        <v>13.4987</v>
      </c>
      <c r="F40" s="9" t="n">
        <v>0.0013</v>
      </c>
      <c r="G40" s="7" t="n"/>
      <c r="H40" s="7" t="n"/>
      <c r="I40" s="8">
        <f>IF(H40&lt;&gt;"",H40/$B$4*1000,IF(G40&lt;&gt;"",($A40-G40)/$B$4*1000,""))</f>
        <v/>
      </c>
      <c r="J40" s="9" t="n">
        <v>13.0294</v>
      </c>
      <c r="K40" s="9" t="n">
        <v>0.4706</v>
      </c>
      <c r="L40" s="7" t="n"/>
      <c r="M40" s="7" t="n"/>
      <c r="N40" s="8">
        <f>IF(M40&lt;&gt;"",M40/$B$4*1000,IF(L40&lt;&gt;"",($A40-L40)/$B$4*1000,""))</f>
        <v/>
      </c>
      <c r="O40" s="9" t="n">
        <v>11.3806</v>
      </c>
      <c r="P40" s="9" t="n">
        <v>2.1194</v>
      </c>
      <c r="Q40" s="7" t="n"/>
      <c r="R40" s="7" t="n"/>
      <c r="S40" s="8">
        <f>IF(R40&lt;&gt;"",R40/$B$4*1000,IF(Q40&lt;&gt;"",($A40-Q40)/$B$4*1000,""))</f>
        <v/>
      </c>
      <c r="T40" s="9" t="n">
        <v>8.7011</v>
      </c>
      <c r="U40" s="9" t="n">
        <v>4.7989</v>
      </c>
    </row>
    <row r="41">
      <c r="A41" s="6" t="n">
        <v>14</v>
      </c>
      <c r="B41" s="7" t="n"/>
      <c r="C41" s="7" t="n"/>
      <c r="D41" s="8">
        <f>IF(C41&lt;&gt;"",C41/$B$4*1000,IF(B41&lt;&gt;"",($A41-B41)/$B$4*1000,""))</f>
        <v/>
      </c>
      <c r="E41" s="9" t="n">
        <v>13.9987</v>
      </c>
      <c r="F41" s="9" t="n">
        <v>0.0013</v>
      </c>
      <c r="G41" s="7" t="n"/>
      <c r="H41" s="7" t="n"/>
      <c r="I41" s="8">
        <f>IF(H41&lt;&gt;"",H41/$B$4*1000,IF(G41&lt;&gt;"",($A41-G41)/$B$4*1000,""))</f>
        <v/>
      </c>
      <c r="J41" s="9" t="n">
        <v>13.5273</v>
      </c>
      <c r="K41" s="9" t="n">
        <v>0.4727</v>
      </c>
      <c r="L41" s="7" t="n"/>
      <c r="M41" s="7" t="n"/>
      <c r="N41" s="8">
        <f>IF(M41&lt;&gt;"",M41/$B$4*1000,IF(L41&lt;&gt;"",($A41-L41)/$B$4*1000,""))</f>
        <v/>
      </c>
      <c r="O41" s="9" t="n">
        <v>11.8713</v>
      </c>
      <c r="P41" s="9" t="n">
        <v>2.1287</v>
      </c>
      <c r="Q41" s="7" t="n"/>
      <c r="R41" s="7" t="n"/>
      <c r="S41" s="8">
        <f>IF(R41&lt;&gt;"",R41/$B$4*1000,IF(Q41&lt;&gt;"",($A41-Q41)/$B$4*1000,""))</f>
        <v/>
      </c>
      <c r="T41" s="9" t="n">
        <v>9.18</v>
      </c>
      <c r="U41" s="9" t="n">
        <v>4.82</v>
      </c>
    </row>
    <row r="42">
      <c r="A42" s="6" t="n">
        <v>14.5</v>
      </c>
      <c r="B42" s="7" t="n"/>
      <c r="C42" s="7" t="n"/>
      <c r="D42" s="8">
        <f>IF(C42&lt;&gt;"",C42/$B$4*1000,IF(B42&lt;&gt;"",($A42-B42)/$B$4*1000,""))</f>
        <v/>
      </c>
      <c r="E42" s="9" t="n">
        <v>14.4987</v>
      </c>
      <c r="F42" s="9" t="n">
        <v>0.0013</v>
      </c>
      <c r="G42" s="7" t="n"/>
      <c r="H42" s="7" t="n"/>
      <c r="I42" s="8">
        <f>IF(H42&lt;&gt;"",H42/$B$4*1000,IF(G42&lt;&gt;"",($A42-G42)/$B$4*1000,""))</f>
        <v/>
      </c>
      <c r="J42" s="9" t="n">
        <v>14.0252</v>
      </c>
      <c r="K42" s="9" t="n">
        <v>0.4748</v>
      </c>
      <c r="L42" s="7" t="n"/>
      <c r="M42" s="7" t="n"/>
      <c r="N42" s="8">
        <f>IF(M42&lt;&gt;"",M42/$B$4*1000,IF(L42&lt;&gt;"",($A42-L42)/$B$4*1000,""))</f>
        <v/>
      </c>
      <c r="O42" s="9" t="n">
        <v>12.362</v>
      </c>
      <c r="P42" s="9" t="n">
        <v>2.138</v>
      </c>
      <c r="Q42" s="7" t="n"/>
      <c r="R42" s="7" t="n"/>
      <c r="S42" s="8">
        <f>IF(R42&lt;&gt;"",R42/$B$4*1000,IF(Q42&lt;&gt;"",($A42-Q42)/$B$4*1000,""))</f>
        <v/>
      </c>
      <c r="T42" s="9" t="n">
        <v>9.658899999999999</v>
      </c>
      <c r="U42" s="9" t="n">
        <v>4.8411</v>
      </c>
    </row>
    <row r="43">
      <c r="A43" s="6" t="n">
        <v>15</v>
      </c>
      <c r="B43" s="7" t="n"/>
      <c r="C43" s="7" t="n"/>
      <c r="D43" s="8">
        <f>IF(C43&lt;&gt;"",C43/$B$4*1000,IF(B43&lt;&gt;"",($A43-B43)/$B$4*1000,""))</f>
        <v/>
      </c>
      <c r="E43" s="9" t="n">
        <v>14.9987</v>
      </c>
      <c r="F43" s="9" t="n">
        <v>0.0013</v>
      </c>
      <c r="G43" s="7" t="n"/>
      <c r="H43" s="7" t="n"/>
      <c r="I43" s="8">
        <f>IF(H43&lt;&gt;"",H43/$B$4*1000,IF(G43&lt;&gt;"",($A43-G43)/$B$4*1000,""))</f>
        <v/>
      </c>
      <c r="J43" s="9" t="n">
        <v>14.5232</v>
      </c>
      <c r="K43" s="9" t="n">
        <v>0.4768</v>
      </c>
      <c r="L43" s="7" t="n"/>
      <c r="M43" s="7" t="n"/>
      <c r="N43" s="8">
        <f>IF(M43&lt;&gt;"",M43/$B$4*1000,IF(L43&lt;&gt;"",($A43-L43)/$B$4*1000,""))</f>
        <v/>
      </c>
      <c r="O43" s="9" t="n">
        <v>12.8527</v>
      </c>
      <c r="P43" s="9" t="n">
        <v>2.1473</v>
      </c>
      <c r="Q43" s="7" t="n"/>
      <c r="R43" s="7" t="n"/>
      <c r="S43" s="8">
        <f>IF(R43&lt;&gt;"",R43/$B$4*1000,IF(Q43&lt;&gt;"",($A43-Q43)/$B$4*1000,""))</f>
        <v/>
      </c>
      <c r="T43" s="9" t="n">
        <v>10.1379</v>
      </c>
      <c r="U43" s="9" t="n">
        <v>4.8621</v>
      </c>
    </row>
    <row r="45">
      <c r="A45" s="2" t="inlineStr">
        <is>
          <t>I_C 的分子必須是「集極電阻兩端的壓降」V_RC，不是集極對地電位。本電路射極接地，所以 V_CE 就是集極對地電位，兩者的關係是 V_RC = V_CC − V_CE。</t>
        </is>
      </c>
    </row>
    <row r="46">
      <c r="A46" s="2" t="inlineStr">
        <is>
          <t>因此兩欄只要量一欄就夠：I_C 欄會優先用 V_RC；沒填 V_RC 時自動改用 (V_CC − V_CE) / R_C。兩欄都量的好處是可以當場對帳——V_CE + V_RC 應該等於 V_CC，對不起來就是有一次量錯了。</t>
        </is>
      </c>
    </row>
    <row r="48">
      <c r="A48" s="3" t="inlineStr">
        <is>
          <t>當天拍照檢查表（離開實驗室前逐項打勾）</t>
        </is>
      </c>
    </row>
    <row r="49">
      <c r="A49" s="16" t="inlineStr">
        <is>
          <t>要留的證據</t>
        </is>
      </c>
      <c r="B49" s="16" t="inlineStr">
        <is>
          <t>打勾</t>
        </is>
      </c>
      <c r="C49" s="16" t="inlineStr">
        <is>
          <t>備註</t>
        </is>
      </c>
    </row>
    <row r="50">
      <c r="A50" s="17" t="inlineStr">
        <is>
          <t>麵包板全景照 1 張</t>
        </is>
      </c>
      <c r="B50" s="18" t="n"/>
      <c r="C50" s="19" t="inlineStr">
        <is>
          <t>看得出 R1／R2／RC 各插在第幾欄、電晶體三腳的 E／B／C 方向</t>
        </is>
      </c>
    </row>
    <row r="51">
      <c r="A51" s="17" t="inlineStr">
        <is>
          <t>電表接線特寫 1 張</t>
        </is>
      </c>
      <c r="B51" s="18" t="n"/>
      <c r="C51" s="19" t="inlineStr">
        <is>
          <t>左表跨 B-E、中表跨 C-E、右表設 DC 電壓檔並跨 RC 兩端量 V_RC</t>
        </is>
      </c>
    </row>
    <row r="52">
      <c r="A52" s="17" t="inlineStr">
        <is>
          <t>兩台電源面板各 1 張</t>
        </is>
      </c>
      <c r="B52" s="18" t="n"/>
      <c r="C52" s="19" t="inlineStr">
        <is>
          <t>V_BB 與 V_CC 的設定值要和記錄表對得上</t>
        </is>
      </c>
    </row>
    <row r="53">
      <c r="A53" s="17" t="inlineStr">
        <is>
          <t>四組 V_BB 的 V_BE 都記到</t>
        </is>
      </c>
      <c r="B53" s="18" t="n"/>
      <c r="C53" s="19" t="inlineStr">
        <is>
          <t>導通後 V_BE 幾乎不動，沒記到就無法回答「ON/OFF 怎麼判定」</t>
        </is>
      </c>
    </row>
    <row r="54">
      <c r="A54" s="17" t="inlineStr">
        <is>
          <t>特性曲線當場畫一次</t>
        </is>
      </c>
      <c r="B54" s="18" t="n"/>
      <c r="C54" s="19" t="inlineStr">
        <is>
          <t>四條線要看得出平坦的主動區；不平坦代表還沒離開飽和區</t>
        </is>
      </c>
    </row>
  </sheetData>
  <mergeCells count="6">
    <mergeCell ref="B11:D11"/>
    <mergeCell ref="Q11:S11"/>
    <mergeCell ref="L11:N11"/>
    <mergeCell ref="A2:Q2"/>
    <mergeCell ref="A1:Q1"/>
    <mergeCell ref="G11:I11"/>
  </mergeCells>
  <dataValidations count="1">
    <dataValidation sqref="F11 K11 P11 U11" showDropDown="0" showInputMessage="0" showErrorMessage="0" allowBlank="1" type="list">
      <formula1>"ON,OFF"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16" customWidth="1" min="8" max="8"/>
  </cols>
  <sheetData>
    <row r="1">
      <c r="A1" s="1" t="inlineStr">
        <is>
          <t>Table 1（交報告用版面）</t>
        </is>
      </c>
    </row>
    <row r="2">
      <c r="A2" s="2" t="inlineStr">
        <is>
          <t>版面參照 App_Lab2.pdf 第 8 頁；電流統一標示為 mA，數值自動從「實驗一 特性曲線」抓取</t>
        </is>
      </c>
    </row>
    <row r="5">
      <c r="A5" s="20">
        <f>"V_BB = 1.5 V 、 V_BE = "&amp;IF('實驗一 特性曲線'!E$11="","____",TEXT('實驗一 特性曲線'!E$11,"0.000"))&amp;" V 、 "&amp;IF('實驗一 特性曲線'!F$11="","ON/OFF",'實驗一 特性曲線'!F$11)</f>
        <v/>
      </c>
      <c r="B5" s="14" t="n"/>
      <c r="D5" s="20">
        <f>"V_BB = 2.0 V 、 V_BE = "&amp;IF('實驗一 特性曲線'!J$11="","____",TEXT('實驗一 特性曲線'!J$11,"0.000"))&amp;" V 、 "&amp;IF('實驗一 特性曲線'!K$11="","ON/OFF",'實驗一 特性曲線'!K$11)</f>
        <v/>
      </c>
      <c r="E5" s="14" t="n"/>
      <c r="H5" s="21" t="inlineStr">
        <is>
          <t>取樣的 V_CC (V)</t>
        </is>
      </c>
    </row>
    <row r="6" ht="30" customHeight="1">
      <c r="A6" s="5" t="inlineStr">
        <is>
          <t>V_CE (experimental setting)</t>
        </is>
      </c>
      <c r="B6" s="5" t="inlineStr">
        <is>
          <t>I_C (mA)  ( = V_RC / R_C )</t>
        </is>
      </c>
      <c r="D6" s="5" t="inlineStr">
        <is>
          <t>V_CE (experimental setting)</t>
        </is>
      </c>
      <c r="E6" s="5" t="inlineStr">
        <is>
          <t>I_C (mA)  ( = V_RC / R_C )</t>
        </is>
      </c>
      <c r="H6" s="6" t="n">
        <v>1</v>
      </c>
    </row>
    <row r="7">
      <c r="A7" s="8">
        <f>IFERROR(INDEX('實驗一 特性曲線'!$B$13:$B$43,MATCH($H$6,'實驗一 特性曲線'!$A$13:$A$43,0)),"")</f>
        <v/>
      </c>
      <c r="B7" s="8">
        <f>IFERROR(INDEX('實驗一 特性曲線'!$D$13:$D$43,MATCH($H$6,'實驗一 特性曲線'!$A$13:$A$43,0)),"")</f>
        <v/>
      </c>
      <c r="D7" s="8">
        <f>IFERROR(INDEX('實驗一 特性曲線'!$G$13:$G$43,MATCH($H$6,'實驗一 特性曲線'!$A$13:$A$43,0)),"")</f>
        <v/>
      </c>
      <c r="E7" s="8">
        <f>IFERROR(INDEX('實驗一 特性曲線'!$I$13:$I$43,MATCH($H$6,'實驗一 特性曲線'!$A$13:$A$43,0)),"")</f>
        <v/>
      </c>
      <c r="H7" s="6" t="n">
        <v>2</v>
      </c>
    </row>
    <row r="8">
      <c r="A8" s="8">
        <f>IFERROR(INDEX('實驗一 特性曲線'!$B$13:$B$43,MATCH($H$7,'實驗一 特性曲線'!$A$13:$A$43,0)),"")</f>
        <v/>
      </c>
      <c r="B8" s="8">
        <f>IFERROR(INDEX('實驗一 特性曲線'!$D$13:$D$43,MATCH($H$7,'實驗一 特性曲線'!$A$13:$A$43,0)),"")</f>
        <v/>
      </c>
      <c r="D8" s="8">
        <f>IFERROR(INDEX('實驗一 特性曲線'!$G$13:$G$43,MATCH($H$7,'實驗一 特性曲線'!$A$13:$A$43,0)),"")</f>
        <v/>
      </c>
      <c r="E8" s="8">
        <f>IFERROR(INDEX('實驗一 特性曲線'!$I$13:$I$43,MATCH($H$7,'實驗一 特性曲線'!$A$13:$A$43,0)),"")</f>
        <v/>
      </c>
      <c r="H8" s="6" t="n">
        <v>5</v>
      </c>
    </row>
    <row r="9">
      <c r="A9" s="8">
        <f>IFERROR(INDEX('實驗一 特性曲線'!$B$13:$B$43,MATCH($H$8,'實驗一 特性曲線'!$A$13:$A$43,0)),"")</f>
        <v/>
      </c>
      <c r="B9" s="8">
        <f>IFERROR(INDEX('實驗一 特性曲線'!$D$13:$D$43,MATCH($H$8,'實驗一 特性曲線'!$A$13:$A$43,0)),"")</f>
        <v/>
      </c>
      <c r="D9" s="8">
        <f>IFERROR(INDEX('實驗一 特性曲線'!$G$13:$G$43,MATCH($H$8,'實驗一 特性曲線'!$A$13:$A$43,0)),"")</f>
        <v/>
      </c>
      <c r="E9" s="8">
        <f>IFERROR(INDEX('實驗一 特性曲線'!$I$13:$I$43,MATCH($H$8,'實驗一 特性曲線'!$A$13:$A$43,0)),"")</f>
        <v/>
      </c>
      <c r="H9" s="6" t="n">
        <v>10</v>
      </c>
    </row>
    <row r="10">
      <c r="A10" s="8">
        <f>IFERROR(INDEX('實驗一 特性曲線'!$B$13:$B$43,MATCH($H$9,'實驗一 特性曲線'!$A$13:$A$43,0)),"")</f>
        <v/>
      </c>
      <c r="B10" s="8">
        <f>IFERROR(INDEX('實驗一 特性曲線'!$D$13:$D$43,MATCH($H$9,'實驗一 特性曲線'!$A$13:$A$43,0)),"")</f>
        <v/>
      </c>
      <c r="D10" s="8">
        <f>IFERROR(INDEX('實驗一 特性曲線'!$G$13:$G$43,MATCH($H$9,'實驗一 特性曲線'!$A$13:$A$43,0)),"")</f>
        <v/>
      </c>
      <c r="E10" s="8">
        <f>IFERROR(INDEX('實驗一 特性曲線'!$I$13:$I$43,MATCH($H$9,'實驗一 特性曲線'!$A$13:$A$43,0)),"")</f>
        <v/>
      </c>
      <c r="H10" s="6" t="n">
        <v>15</v>
      </c>
    </row>
    <row r="11">
      <c r="A11" s="8">
        <f>IFERROR(INDEX('實驗一 特性曲線'!$B$13:$B$43,MATCH($H$10,'實驗一 特性曲線'!$A$13:$A$43,0)),"")</f>
        <v/>
      </c>
      <c r="B11" s="8">
        <f>IFERROR(INDEX('實驗一 特性曲線'!$D$13:$D$43,MATCH($H$10,'實驗一 特性曲線'!$A$13:$A$43,0)),"")</f>
        <v/>
      </c>
      <c r="D11" s="8">
        <f>IFERROR(INDEX('實驗一 特性曲線'!$G$13:$G$43,MATCH($H$10,'實驗一 特性曲線'!$A$13:$A$43,0)),"")</f>
        <v/>
      </c>
      <c r="E11" s="8">
        <f>IFERROR(INDEX('實驗一 特性曲線'!$I$13:$I$43,MATCH($H$10,'實驗一 特性曲線'!$A$13:$A$43,0)),"")</f>
        <v/>
      </c>
      <c r="H11" s="2" t="inlineStr">
        <is>
          <t>↑ 想換成別的 V_CC 就改這五格</t>
        </is>
      </c>
    </row>
    <row r="14">
      <c r="A14" s="20">
        <f>"V_BB = 2.2 V 、 V_BE = "&amp;IF('實驗一 特性曲線'!O$11="","____",TEXT('實驗一 特性曲線'!O$11,"0.000"))&amp;" V 、 "&amp;IF('實驗一 特性曲線'!P$11="","ON/OFF",'實驗一 特性曲線'!P$11)</f>
        <v/>
      </c>
      <c r="B14" s="14" t="n"/>
      <c r="D14" s="20">
        <f>"V_BB = 2.4 V 、 V_BE = "&amp;IF('實驗一 特性曲線'!T$11="","____",TEXT('實驗一 特性曲線'!T$11,"0.000"))&amp;" V 、 "&amp;IF('實驗一 特性曲線'!U$11="","ON/OFF",'實驗一 特性曲線'!U$11)</f>
        <v/>
      </c>
      <c r="E14" s="14" t="n"/>
    </row>
    <row r="15" ht="30" customHeight="1">
      <c r="A15" s="5" t="inlineStr">
        <is>
          <t>V_CE (experimental setting)</t>
        </is>
      </c>
      <c r="B15" s="5" t="inlineStr">
        <is>
          <t>I_C (mA)  ( = V_RC / R_C )</t>
        </is>
      </c>
      <c r="D15" s="5" t="inlineStr">
        <is>
          <t>V_CE (experimental setting)</t>
        </is>
      </c>
      <c r="E15" s="5" t="inlineStr">
        <is>
          <t>I_C (mA)  ( = V_RC / R_C )</t>
        </is>
      </c>
    </row>
    <row r="16">
      <c r="A16" s="8">
        <f>IFERROR(INDEX('實驗一 特性曲線'!$L$13:$L$43,MATCH($H$6,'實驗一 特性曲線'!$A$13:$A$43,0)),"")</f>
        <v/>
      </c>
      <c r="B16" s="8">
        <f>IFERROR(INDEX('實驗一 特性曲線'!$N$13:$N$43,MATCH($H$6,'實驗一 特性曲線'!$A$13:$A$43,0)),"")</f>
        <v/>
      </c>
      <c r="D16" s="8">
        <f>IFERROR(INDEX('實驗一 特性曲線'!$Q$13:$Q$43,MATCH($H$6,'實驗一 特性曲線'!$A$13:$A$43,0)),"")</f>
        <v/>
      </c>
      <c r="E16" s="8">
        <f>IFERROR(INDEX('實驗一 特性曲線'!$S$13:$S$43,MATCH($H$6,'實驗一 特性曲線'!$A$13:$A$43,0)),"")</f>
        <v/>
      </c>
    </row>
    <row r="17">
      <c r="A17" s="8">
        <f>IFERROR(INDEX('實驗一 特性曲線'!$L$13:$L$43,MATCH($H$7,'實驗一 特性曲線'!$A$13:$A$43,0)),"")</f>
        <v/>
      </c>
      <c r="B17" s="8">
        <f>IFERROR(INDEX('實驗一 特性曲線'!$N$13:$N$43,MATCH($H$7,'實驗一 特性曲線'!$A$13:$A$43,0)),"")</f>
        <v/>
      </c>
      <c r="D17" s="8">
        <f>IFERROR(INDEX('實驗一 特性曲線'!$Q$13:$Q$43,MATCH($H$7,'實驗一 特性曲線'!$A$13:$A$43,0)),"")</f>
        <v/>
      </c>
      <c r="E17" s="8">
        <f>IFERROR(INDEX('實驗一 特性曲線'!$S$13:$S$43,MATCH($H$7,'實驗一 特性曲線'!$A$13:$A$43,0)),"")</f>
        <v/>
      </c>
    </row>
    <row r="18">
      <c r="A18" s="8">
        <f>IFERROR(INDEX('實驗一 特性曲線'!$L$13:$L$43,MATCH($H$8,'實驗一 特性曲線'!$A$13:$A$43,0)),"")</f>
        <v/>
      </c>
      <c r="B18" s="8">
        <f>IFERROR(INDEX('實驗一 特性曲線'!$N$13:$N$43,MATCH($H$8,'實驗一 特性曲線'!$A$13:$A$43,0)),"")</f>
        <v/>
      </c>
      <c r="D18" s="8">
        <f>IFERROR(INDEX('實驗一 特性曲線'!$Q$13:$Q$43,MATCH($H$8,'實驗一 特性曲線'!$A$13:$A$43,0)),"")</f>
        <v/>
      </c>
      <c r="E18" s="8">
        <f>IFERROR(INDEX('實驗一 特性曲線'!$S$13:$S$43,MATCH($H$8,'實驗一 特性曲線'!$A$13:$A$43,0)),"")</f>
        <v/>
      </c>
    </row>
    <row r="19">
      <c r="A19" s="8">
        <f>IFERROR(INDEX('實驗一 特性曲線'!$L$13:$L$43,MATCH($H$9,'實驗一 特性曲線'!$A$13:$A$43,0)),"")</f>
        <v/>
      </c>
      <c r="B19" s="8">
        <f>IFERROR(INDEX('實驗一 特性曲線'!$N$13:$N$43,MATCH($H$9,'實驗一 特性曲線'!$A$13:$A$43,0)),"")</f>
        <v/>
      </c>
      <c r="D19" s="8">
        <f>IFERROR(INDEX('實驗一 特性曲線'!$Q$13:$Q$43,MATCH($H$9,'實驗一 特性曲線'!$A$13:$A$43,0)),"")</f>
        <v/>
      </c>
      <c r="E19" s="8">
        <f>IFERROR(INDEX('實驗一 特性曲線'!$S$13:$S$43,MATCH($H$9,'實驗一 特性曲線'!$A$13:$A$43,0)),"")</f>
        <v/>
      </c>
    </row>
    <row r="20">
      <c r="A20" s="8">
        <f>IFERROR(INDEX('實驗一 特性曲線'!$L$13:$L$43,MATCH($H$10,'實驗一 特性曲線'!$A$13:$A$43,0)),"")</f>
        <v/>
      </c>
      <c r="B20" s="8">
        <f>IFERROR(INDEX('實驗一 特性曲線'!$N$13:$N$43,MATCH($H$10,'實驗一 特性曲線'!$A$13:$A$43,0)),"")</f>
        <v/>
      </c>
      <c r="D20" s="8">
        <f>IFERROR(INDEX('實驗一 特性曲線'!$Q$13:$Q$43,MATCH($H$10,'實驗一 特性曲線'!$A$13:$A$43,0)),"")</f>
        <v/>
      </c>
      <c r="E20" s="8">
        <f>IFERROR(INDEX('實驗一 特性曲線'!$S$13:$S$43,MATCH($H$10,'實驗一 特性曲線'!$A$13:$A$43,0)),"")</f>
        <v/>
      </c>
    </row>
    <row r="23">
      <c r="A23" s="2" t="inlineStr">
        <is>
          <t>I_C 已統一使用 mA；若指定報告格式要求 A，請將數值除以 1000 並同步標註單位。</t>
        </is>
      </c>
    </row>
    <row r="24">
      <c r="A24" s="2" t="inlineStr">
        <is>
          <t>區塊標題的 V_BE 與 ON/OFF 會跟著「實驗一 特性曲線」各組標題列的黃格自動帶過來。</t>
        </is>
      </c>
    </row>
  </sheetData>
  <mergeCells count="6">
    <mergeCell ref="A2:F2"/>
    <mergeCell ref="A1:F1"/>
    <mergeCell ref="D5:E5"/>
    <mergeCell ref="A5:B5"/>
    <mergeCell ref="D14:E14"/>
    <mergeCell ref="A14:B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30" customWidth="1" min="4" max="4"/>
    <col width="16" customWidth="1" min="5" max="5"/>
    <col width="12" customWidth="1" min="6" max="6"/>
    <col width="34" customWidth="1" min="7" max="7"/>
  </cols>
  <sheetData>
    <row r="1">
      <c r="A1" s="1" t="inlineStr">
        <is>
          <t>實驗二：電流增益 β 的量測（Table 2）</t>
        </is>
      </c>
    </row>
    <row r="2">
      <c r="A2" s="2" t="inlineStr">
        <is>
          <t>講義第 9–10 頁：V_BB = V_CC = 15 V，量 R1／R2 壓降求 I_B（KCL），量 R_C 壓降求 I_C</t>
        </is>
      </c>
    </row>
    <row r="3">
      <c r="A3" s="3" t="inlineStr">
        <is>
          <t>電源設定值</t>
        </is>
      </c>
      <c r="B3" s="17" t="inlineStr">
        <is>
          <t>V_BB (V)</t>
        </is>
      </c>
      <c r="C3" s="22" t="n">
        <v>15</v>
      </c>
      <c r="D3" s="17" t="inlineStr">
        <is>
          <t>V_CC (V)</t>
        </is>
      </c>
      <c r="E3" s="22" t="n">
        <v>15</v>
      </c>
    </row>
    <row r="4">
      <c r="A4" s="3" t="inlineStr">
        <is>
          <t>電阻實測值 (Ω)</t>
        </is>
      </c>
      <c r="B4" s="17" t="inlineStr">
        <is>
          <t>R1</t>
        </is>
      </c>
      <c r="C4" s="23" t="n">
        <v>10000</v>
      </c>
      <c r="D4" s="17" t="inlineStr">
        <is>
          <t>R2</t>
        </is>
      </c>
      <c r="E4" s="23" t="n">
        <v>4700</v>
      </c>
      <c r="F4" s="17" t="inlineStr">
        <is>
          <t>R_C</t>
        </is>
      </c>
      <c r="G4" s="23" t="n">
        <v>1000</v>
      </c>
    </row>
    <row r="5">
      <c r="A5" s="2" t="inlineStr">
        <is>
          <t>↑ 這五格是助教在 Table 2 旁邊特別要求記錄的（V_BB、V_CC、R_C、R1、R2）。電阻先填的是標稱值，開工前用三用電表各量一次改成實測值——±5% 的色環電阻常差到幾百歐姆，下面所有電流與 β 都是用這三格算的。</t>
        </is>
      </c>
    </row>
    <row r="6" ht="30" customHeight="1">
      <c r="A6" s="5" t="inlineStr">
        <is>
          <t>量測項目</t>
        </is>
      </c>
      <c r="B6" s="5" t="inlineStr">
        <is>
          <t>實測</t>
        </is>
      </c>
      <c r="C6" s="5" t="inlineStr">
        <is>
          <t>單位</t>
        </is>
      </c>
      <c r="D6" s="5" t="inlineStr">
        <is>
          <t>算式</t>
        </is>
      </c>
      <c r="E6" s="5" t="inlineStr">
        <is>
          <t>LTspice 預報</t>
        </is>
      </c>
      <c r="F6" s="5" t="inlineStr">
        <is>
          <t>相對偏差 (%)</t>
        </is>
      </c>
      <c r="G6" s="5" t="inlineStr">
        <is>
          <t>備註</t>
        </is>
      </c>
    </row>
    <row r="7">
      <c r="A7" s="17" t="inlineStr">
        <is>
          <t>R1 兩端壓降 V_R1</t>
        </is>
      </c>
      <c r="B7" s="7" t="n"/>
      <c r="C7" s="17" t="inlineStr">
        <is>
          <t>V</t>
        </is>
      </c>
      <c r="D7" s="19" t="inlineStr"/>
      <c r="E7" s="9" t="n">
        <v>14.251</v>
      </c>
      <c r="F7" s="10">
        <f>IF(OR(B7="",E7="",E7=0),"",(B7-E7)/E7)</f>
        <v/>
      </c>
      <c r="G7" s="19" t="inlineStr">
        <is>
          <t>量 V_BB 對基極</t>
        </is>
      </c>
    </row>
    <row r="8">
      <c r="A8" s="17" t="inlineStr">
        <is>
          <t>R2 兩端壓降 V_R2</t>
        </is>
      </c>
      <c r="B8" s="7" t="n"/>
      <c r="C8" s="17" t="inlineStr">
        <is>
          <t>V</t>
        </is>
      </c>
      <c r="D8" s="19" t="inlineStr"/>
      <c r="E8" s="9" t="n">
        <v>0.749</v>
      </c>
      <c r="F8" s="10">
        <f>IF(OR(B8="",E8="",E8=0),"",(B8-E8)/E8)</f>
        <v/>
      </c>
      <c r="G8" s="19" t="inlineStr">
        <is>
          <t>等於 V_BE（R2 與 B-E 並聯）</t>
        </is>
      </c>
    </row>
    <row r="9">
      <c r="A9" s="17" t="inlineStr">
        <is>
          <t>R_C 兩端壓降 V_RC</t>
        </is>
      </c>
      <c r="B9" s="7" t="n"/>
      <c r="C9" s="17" t="inlineStr">
        <is>
          <t>V</t>
        </is>
      </c>
      <c r="D9" s="19" t="inlineStr"/>
      <c r="E9" s="9" t="n">
        <v>14.946</v>
      </c>
      <c r="F9" s="10">
        <f>IF(OR(B9="",E9="",E9=0),"",(B9-E9)/E9)</f>
        <v/>
      </c>
      <c r="G9" s="19" t="inlineStr">
        <is>
          <t>量 V_CC 對集極</t>
        </is>
      </c>
    </row>
    <row r="10">
      <c r="A10" s="17" t="inlineStr">
        <is>
          <t>V_CE</t>
        </is>
      </c>
      <c r="B10" s="7" t="n"/>
      <c r="C10" s="17" t="inlineStr">
        <is>
          <t>V</t>
        </is>
      </c>
      <c r="D10" s="19" t="inlineStr"/>
      <c r="E10" s="9" t="n">
        <v>0.054</v>
      </c>
      <c r="F10" s="10">
        <f>IF(OR(B10="",E10="",E10=0),"",(B10-E10)/E10)</f>
        <v/>
      </c>
      <c r="G10" s="19" t="inlineStr">
        <is>
          <t>直接量集極對地，不要用 V_CC − V_RC 相減（兩個 15 V 量級的數相減，誤差會和待測值同級）</t>
        </is>
      </c>
    </row>
    <row r="11">
      <c r="A11" s="17" t="inlineStr">
        <is>
          <t>I_R1 = V_R1 / R1</t>
        </is>
      </c>
      <c r="B11" s="8">
        <f>IF(B7="","",B7/$C$4*1000)</f>
        <v/>
      </c>
      <c r="C11" s="17" t="inlineStr">
        <is>
          <t>mA</t>
        </is>
      </c>
      <c r="D11" s="19" t="inlineStr">
        <is>
          <t>V_R1 ÷ R1 × 1000</t>
        </is>
      </c>
      <c r="E11" s="9" t="n">
        <v>1.425</v>
      </c>
      <c r="F11" s="10">
        <f>IF(OR(B11="",E11="",E11=0),"",(B11-E11)/E11)</f>
        <v/>
      </c>
      <c r="G11" s="19" t="inlineStr">
        <is>
          <t>流進基極節點的總電流</t>
        </is>
      </c>
    </row>
    <row r="12">
      <c r="A12" s="17" t="inlineStr">
        <is>
          <t>I_R2 = V_R2 / R2</t>
        </is>
      </c>
      <c r="B12" s="8">
        <f>IF(B8="","",B8/$E$4*1000)</f>
        <v/>
      </c>
      <c r="C12" s="17" t="inlineStr">
        <is>
          <t>mA</t>
        </is>
      </c>
      <c r="D12" s="19" t="inlineStr">
        <is>
          <t>V_R2 ÷ R2 × 1000</t>
        </is>
      </c>
      <c r="E12" s="9" t="n">
        <v>0.159</v>
      </c>
      <c r="F12" s="10">
        <f>IF(OR(B12="",E12="",E12=0),"",(B12-E12)/E12)</f>
        <v/>
      </c>
      <c r="G12" s="19" t="inlineStr">
        <is>
          <t>被 R2 分掉、沒進基極的那一份</t>
        </is>
      </c>
    </row>
    <row r="13">
      <c r="A13" s="17" t="inlineStr">
        <is>
          <t>I_B = I_R1 − I_R2</t>
        </is>
      </c>
      <c r="B13" s="8">
        <f>IF(OR(B7="",B8=""),"",B11-B12)</f>
        <v/>
      </c>
      <c r="C13" s="17" t="inlineStr">
        <is>
          <t>mA</t>
        </is>
      </c>
      <c r="D13" s="19" t="inlineStr">
        <is>
          <t>I_R1 − I_R2</t>
        </is>
      </c>
      <c r="E13" s="9" t="n">
        <v>1.266</v>
      </c>
      <c r="F13" s="10">
        <f>IF(OR(B13="",E13="",E13=0),"",(B13-E13)/E13)</f>
        <v/>
      </c>
      <c r="G13" s="19" t="inlineStr">
        <is>
          <t>KCL：講義第 9 頁第 3 步</t>
        </is>
      </c>
    </row>
    <row r="14">
      <c r="A14" s="17" t="inlineStr">
        <is>
          <t>I_C = V_RC / R_C</t>
        </is>
      </c>
      <c r="B14" s="8">
        <f>IF(B9="","",B9/$G$4*1000)</f>
        <v/>
      </c>
      <c r="C14" s="17" t="inlineStr">
        <is>
          <t>mA</t>
        </is>
      </c>
      <c r="D14" s="19" t="inlineStr">
        <is>
          <t>V_RC ÷ R_C × 1000</t>
        </is>
      </c>
      <c r="E14" s="9" t="n">
        <v>14.946</v>
      </c>
      <c r="F14" s="10">
        <f>IF(OR(B14="",E14="",E14=0),"",(B14-E14)/E14)</f>
        <v/>
      </c>
      <c r="G14" s="19" t="inlineStr">
        <is>
          <t>不必串電流表就能得到</t>
        </is>
      </c>
    </row>
    <row r="15">
      <c r="A15" s="17" t="inlineStr">
        <is>
          <t>β_calculate = I_C / I_B</t>
        </is>
      </c>
      <c r="B15" s="8">
        <f>IF(OR(B13="",B13=0,B14=""),"",B14/B13)</f>
        <v/>
      </c>
      <c r="C15" s="17" t="inlineStr">
        <is>
          <t>—</t>
        </is>
      </c>
      <c r="D15" s="19" t="inlineStr">
        <is>
          <t>I_C ÷ I_B</t>
        </is>
      </c>
      <c r="E15" s="9" t="n">
        <v>11.81</v>
      </c>
      <c r="F15" s="10">
        <f>IF(OR(B15="",E15="",E15=0),"",(B15-E15)/E15)</f>
        <v/>
      </c>
      <c r="G15" s="19" t="inlineStr">
        <is>
          <t>這是「強迫 β」，飽和時遠小於真正的 β</t>
        </is>
      </c>
    </row>
    <row r="16">
      <c r="A16" s="17" t="inlineStr">
        <is>
          <t>β_measure（三用電表 hFE 檔）</t>
        </is>
      </c>
      <c r="B16" s="7" t="n"/>
      <c r="C16" s="17" t="inlineStr">
        <is>
          <t>—</t>
        </is>
      </c>
      <c r="D16" s="19" t="inlineStr"/>
      <c r="E16" s="9" t="n"/>
      <c r="F16" s="10">
        <f>IF(OR(B16="",E16="",E16=0),"",(B16-E16)/E16)</f>
        <v/>
      </c>
      <c r="G16" s="19" t="inlineStr">
        <is>
          <t>助教把 Table 2 的 β_Meas 欄劃掉了，這格不抄進 Table 2，但仍要量——它是問題 1 的證據</t>
        </is>
      </c>
    </row>
    <row r="18">
      <c r="A18" s="2" t="inlineStr">
        <is>
          <t>β_calculate 與 β_measure 差很多是正常的，原因就是講義問題 1 的答案：這個偏壓把電晶體推進飽和區，I_C 被 R_C 限制住，不再等於 β × I_B。</t>
        </is>
      </c>
    </row>
    <row r="20">
      <c r="A20" s="3" t="inlineStr">
        <is>
          <t>當天拍照檢查表（離開實驗室前逐項打勾）</t>
        </is>
      </c>
    </row>
    <row r="21">
      <c r="A21" s="16" t="inlineStr">
        <is>
          <t>要留的證據</t>
        </is>
      </c>
      <c r="B21" s="16" t="inlineStr">
        <is>
          <t>打勾</t>
        </is>
      </c>
      <c r="C21" s="16" t="inlineStr">
        <is>
          <t>備註</t>
        </is>
      </c>
    </row>
    <row r="22">
      <c r="A22" s="17" t="inlineStr">
        <is>
          <t>四個壓降都量到</t>
        </is>
      </c>
      <c r="B22" s="18" t="n"/>
      <c r="C22" s="19" t="inlineStr">
        <is>
          <t>V_R1、V_R2、V_RC、V_CE（V_CE 要直接量，不要相減）</t>
        </is>
      </c>
    </row>
    <row r="23">
      <c r="A23" s="17" t="inlineStr">
        <is>
          <t>五個設定值都記下</t>
        </is>
      </c>
      <c r="B23" s="18" t="n"/>
      <c r="C23" s="19" t="inlineStr">
        <is>
          <t>V_BB、V_CC 與 R1／R2／R_C 的實測值，助教要求</t>
        </is>
      </c>
    </row>
    <row r="24">
      <c r="A24" s="17" t="inlineStr">
        <is>
          <t>Table 2 三欄填完</t>
        </is>
      </c>
      <c r="B24" s="18" t="n"/>
      <c r="C24" s="19" t="inlineStr">
        <is>
          <t>講義 Table 2 只要 I_B、I_C、β_calculate（β_Meas 已被助教劃掉）</t>
        </is>
      </c>
    </row>
    <row r="25">
      <c r="A25" s="17" t="inlineStr">
        <is>
          <t>電晶體 hFE 讀值照片 1 張</t>
        </is>
      </c>
      <c r="B25" s="18" t="n"/>
      <c r="C25" s="19" t="inlineStr">
        <is>
          <t>拔下來插 hFE 座量到的 β，寫自己的記錄表、不抄進 Table 2</t>
        </is>
      </c>
    </row>
    <row r="26">
      <c r="A26" s="17" t="inlineStr">
        <is>
          <t>飽和的證據 1 張</t>
        </is>
      </c>
      <c r="B26" s="18" t="n"/>
      <c r="C26" s="19" t="inlineStr">
        <is>
          <t>V_CE 只剩幾十 mV 的電表畫面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6" customWidth="1" min="3" max="3"/>
    <col width="20" customWidth="1" min="4" max="4"/>
    <col width="16" customWidth="1" min="5" max="5"/>
    <col width="10" customWidth="1" min="6" max="6"/>
    <col width="10" customWidth="1" min="7" max="7"/>
    <col width="40" customWidth="1" min="8" max="8"/>
  </cols>
  <sheetData>
    <row r="1">
      <c r="A1" s="1" t="inlineStr">
        <is>
          <t>第二部分：共射放大器的電壓增益（Common Emitter Amplifier）</t>
        </is>
      </c>
    </row>
    <row r="2">
      <c r="A2" s="2" t="inlineStr">
        <is>
          <t>講義第 16–22 頁：V_CC 12 V、輸入 10 kHz／100 mVpp，量直流工作點與四種組合的增益</t>
        </is>
      </c>
    </row>
    <row r="3">
      <c r="A3" s="3" t="inlineStr">
        <is>
          <t>直流計算設定</t>
        </is>
      </c>
      <c r="B3" s="17" t="inlineStr">
        <is>
          <t>V_CC (V)</t>
        </is>
      </c>
      <c r="C3" s="22" t="n">
        <v>12</v>
      </c>
      <c r="D3" s="17" t="inlineStr">
        <is>
          <t>R_C1 100 Ω 實測 (Ω)</t>
        </is>
      </c>
      <c r="E3" s="23" t="n">
        <v>100</v>
      </c>
      <c r="F3" s="17" t="inlineStr">
        <is>
          <t>R_C1 1 kΩ 實測 (Ω)</t>
        </is>
      </c>
      <c r="G3" s="23" t="n">
        <v>1000</v>
      </c>
    </row>
    <row r="4">
      <c r="A4" s="3" t="inlineStr">
        <is>
          <t>一、直流工作點（訊號源先關掉，用三用電表量）</t>
        </is>
      </c>
    </row>
    <row r="5" ht="30" customHeight="1">
      <c r="A5" s="5" t="inlineStr">
        <is>
          <t>節點</t>
        </is>
      </c>
      <c r="B5" s="5" t="inlineStr">
        <is>
          <t>實測 R_C1 = 100 Ω</t>
        </is>
      </c>
      <c r="C5" s="5" t="inlineStr">
        <is>
          <t>LTspice R_C1 = 100 Ω</t>
        </is>
      </c>
      <c r="D5" s="5" t="inlineStr">
        <is>
          <t>相對偏差 (%)</t>
        </is>
      </c>
      <c r="E5" s="5" t="inlineStr">
        <is>
          <t>實測 R_C1 = 1 kΩ</t>
        </is>
      </c>
      <c r="F5" s="5" t="inlineStr">
        <is>
          <t>LTspice R_C1 = 1 kΩ</t>
        </is>
      </c>
      <c r="G5" s="5" t="inlineStr">
        <is>
          <t>相對偏差 (%)</t>
        </is>
      </c>
      <c r="H5" s="5" t="inlineStr">
        <is>
          <t>備註</t>
        </is>
      </c>
    </row>
    <row r="6">
      <c r="A6" s="17" t="inlineStr">
        <is>
          <t>V_B（基極對地）</t>
        </is>
      </c>
      <c r="B6" s="7" t="n"/>
      <c r="C6" s="9" t="n">
        <v>5.876</v>
      </c>
      <c r="D6" s="10">
        <f>IF(OR(B6="",C6=0),"",(B6-C6)/C6)</f>
        <v/>
      </c>
      <c r="E6" s="7" t="n"/>
      <c r="F6" s="9" t="n">
        <v>5.87</v>
      </c>
      <c r="G6" s="10">
        <f>IF(OR(E6="",F6=0),"",(E6-F6)/F6)</f>
        <v/>
      </c>
      <c r="H6" s="19" t="inlineStr">
        <is>
          <t>分壓器給的 6 V 附近</t>
        </is>
      </c>
    </row>
    <row r="7">
      <c r="A7" s="17" t="inlineStr">
        <is>
          <t>V_E（射極對地）</t>
        </is>
      </c>
      <c r="B7" s="7" t="n"/>
      <c r="C7" s="9" t="n">
        <v>5.178</v>
      </c>
      <c r="D7" s="10">
        <f>IF(OR(B7="",C7=0),"",(B7-C7)/C7)</f>
        <v/>
      </c>
      <c r="E7" s="7" t="n"/>
      <c r="F7" s="9" t="n">
        <v>5.171</v>
      </c>
      <c r="G7" s="10">
        <f>IF(OR(E7="",F7=0),"",(E7-F7)/F7)</f>
        <v/>
      </c>
      <c r="H7" s="19" t="inlineStr">
        <is>
          <t>約 V_B − 0.7</t>
        </is>
      </c>
    </row>
    <row r="8">
      <c r="A8" s="17" t="inlineStr">
        <is>
          <t>V_C（集極對地）</t>
        </is>
      </c>
      <c r="B8" s="7" t="n"/>
      <c r="C8" s="9" t="n">
        <v>11.485</v>
      </c>
      <c r="D8" s="10">
        <f>IF(OR(B8="",C8=0),"",(B8-C8)/C8)</f>
        <v/>
      </c>
      <c r="E8" s="7" t="n"/>
      <c r="F8" s="9" t="n">
        <v>6.854</v>
      </c>
      <c r="G8" s="10">
        <f>IF(OR(E8="",F8=0),"",(E8-F8)/F8)</f>
        <v/>
      </c>
      <c r="H8" s="19" t="inlineStr">
        <is>
          <t>R_C1 越大這裡越低</t>
        </is>
      </c>
    </row>
    <row r="9">
      <c r="A9" s="17" t="inlineStr">
        <is>
          <t>V_CE = V_C − V_E</t>
        </is>
      </c>
      <c r="B9" s="8">
        <f>IF(OR(B7="",B8=""),"",B8-B7)</f>
        <v/>
      </c>
      <c r="C9" s="9" t="n">
        <v>6.306</v>
      </c>
      <c r="D9" s="10">
        <f>IF(OR(B9="",C9=0),"",(B9-C9)/C9)</f>
        <v/>
      </c>
      <c r="E9" s="8">
        <f>IF(OR(E7="",E8=""),"",E8-E7)</f>
        <v/>
      </c>
      <c r="F9" s="9" t="n">
        <v>1.683</v>
      </c>
      <c r="G9" s="10">
        <f>IF(OR(E9="",F9=0),"",(E9-F9)/F9)</f>
        <v/>
      </c>
      <c r="H9" s="19" t="inlineStr">
        <is>
          <t>由 V_C − V_E 自動計算；小於 1 V 就代表快飽和，訊號會削波</t>
        </is>
      </c>
    </row>
    <row r="10">
      <c r="A10" s="17" t="inlineStr">
        <is>
          <t>I_C = (V_CC − V_C) / R_C1</t>
        </is>
      </c>
      <c r="B10" s="8">
        <f>IF(OR(B8="",$C$3="",$E$3="",$E$3=0),"",($C$3-B8)/$E$3*1000)</f>
        <v/>
      </c>
      <c r="C10" s="9" t="n">
        <v>5.153</v>
      </c>
      <c r="D10" s="10">
        <f>IF(OR(B10="",C10=0),"",(B10-C10)/C10)</f>
        <v/>
      </c>
      <c r="E10" s="8">
        <f>IF(OR(E8="",$C$3="",$G$3="",$G$3=0),"",($C$3-E8)/$G$3*1000)</f>
        <v/>
      </c>
      <c r="F10" s="9" t="n">
        <v>5.146</v>
      </c>
      <c r="G10" s="10">
        <f>IF(OR(E10="",F10=0),"",(E10-F10)/F10)</f>
        <v/>
      </c>
      <c r="H10" s="19" t="inlineStr">
        <is>
          <t>單位 mA；使用上方輸入的 V_CC 與兩顆 R_C1 實測阻值計算</t>
        </is>
      </c>
    </row>
    <row r="12">
      <c r="A12" s="3" t="inlineStr">
        <is>
          <t>二、電壓增益（示波器雙通道：CH1 接 V_s、CH2 接 V_out）</t>
        </is>
      </c>
    </row>
    <row r="13" ht="30" customHeight="1">
      <c r="A13" s="5" t="inlineStr">
        <is>
          <t>組合</t>
        </is>
      </c>
      <c r="B13" s="5" t="inlineStr">
        <is>
          <t>實測 V_s (mVpp)</t>
        </is>
      </c>
      <c r="C13" s="5" t="inlineStr">
        <is>
          <t>實測 V_out (mVpp)</t>
        </is>
      </c>
      <c r="D13" s="5" t="inlineStr">
        <is>
          <t>實測 |A_v| (= V_out/V_s)</t>
        </is>
      </c>
      <c r="E13" s="5" t="inlineStr">
        <is>
          <t>LTspice |A_v|</t>
        </is>
      </c>
      <c r="F13" s="5" t="inlineStr">
        <is>
          <t>相對偏差 (%)</t>
        </is>
      </c>
      <c r="G13" s="5" t="inlineStr">
        <is>
          <t>波形有沒有削平／反相？</t>
        </is>
      </c>
    </row>
    <row r="14">
      <c r="A14" s="17" t="inlineStr">
        <is>
          <t>RC1 100 Ω、有 C3</t>
        </is>
      </c>
      <c r="B14" s="24" t="n"/>
      <c r="C14" s="24" t="n"/>
      <c r="D14" s="25">
        <f>IF(OR(B14="",B14=0,C14=""),"",C14/B14)</f>
        <v/>
      </c>
      <c r="E14" s="26" t="n">
        <v>5.54</v>
      </c>
      <c r="F14" s="10">
        <f>IF(OR(D14="",E14=0),"",(D14-E14)/E14)</f>
        <v/>
      </c>
      <c r="G14" s="18" t="n"/>
    </row>
    <row r="15">
      <c r="A15" s="17" t="inlineStr">
        <is>
          <t>RC1 1 kΩ、有 C3</t>
        </is>
      </c>
      <c r="B15" s="24" t="n"/>
      <c r="C15" s="24" t="n"/>
      <c r="D15" s="25">
        <f>IF(OR(B15="",B15=0,C15=""),"",C15/B15)</f>
        <v/>
      </c>
      <c r="E15" s="26" t="n">
        <v>41.13</v>
      </c>
      <c r="F15" s="10">
        <f>IF(OR(D15="",E15=0),"",(D15-E15)/E15)</f>
        <v/>
      </c>
      <c r="G15" s="18" t="n"/>
    </row>
    <row r="16">
      <c r="A16" s="17" t="inlineStr">
        <is>
          <t>RC1 100 Ω、無 C3</t>
        </is>
      </c>
      <c r="B16" s="24" t="n"/>
      <c r="C16" s="24" t="n"/>
      <c r="D16" s="25">
        <f>IF(OR(B16="",B16=0,C16=""),"",C16/B16)</f>
        <v/>
      </c>
      <c r="E16" s="26" t="n">
        <v>0.1</v>
      </c>
      <c r="F16" s="10">
        <f>IF(OR(D16="",E16=0),"",(D16-E16)/E16)</f>
        <v/>
      </c>
      <c r="G16" s="18" t="n"/>
    </row>
    <row r="17">
      <c r="A17" s="17" t="inlineStr">
        <is>
          <t>RC1 1 kΩ、無 C3</t>
        </is>
      </c>
      <c r="B17" s="24" t="n"/>
      <c r="C17" s="24" t="n"/>
      <c r="D17" s="25">
        <f>IF(OR(B17="",B17=0,C17=""),"",C17/B17)</f>
        <v/>
      </c>
      <c r="E17" s="26" t="n">
        <v>0.88</v>
      </c>
      <c r="F17" s="10">
        <f>IF(OR(D17="",E17=0),"",(D17-E17)/E17)</f>
        <v/>
      </c>
      <c r="G17" s="18" t="n"/>
    </row>
    <row r="18">
      <c r="A18" s="2" t="inlineStr">
        <is>
          <t>四種組合都量，講義問題 1（拿掉 C3）與問題 3（R_C1 換 1 kΩ）的答案就直接讀得出來。R_C1 = 1 kΩ 那兩列特別注意輸出有沒有一邊被削平。</t>
        </is>
      </c>
    </row>
    <row r="20">
      <c r="A20" s="3" t="inlineStr">
        <is>
          <t>三、Bonus：把增益設計成 A_v = 20（LTspice 驗證 20.1）</t>
        </is>
      </c>
    </row>
    <row r="21" ht="30" customHeight="1">
      <c r="A21" s="5" t="inlineStr">
        <is>
          <t>元件</t>
        </is>
      </c>
      <c r="B21" s="5" t="inlineStr">
        <is>
          <t>定案值</t>
        </is>
      </c>
      <c r="C21" s="5" t="inlineStr">
        <is>
          <t>為什麼</t>
        </is>
      </c>
      <c r="D21" s="5" t="inlineStr">
        <is>
          <t>實測 (V 或 mVpp)</t>
        </is>
      </c>
      <c r="E21" s="5" t="inlineStr">
        <is>
          <t>LTspice</t>
        </is>
      </c>
      <c r="F21" s="5" t="inlineStr"/>
      <c r="G21" s="5" t="inlineStr"/>
    </row>
    <row r="22">
      <c r="A22" s="17" t="inlineStr">
        <is>
          <t>R_C1</t>
        </is>
      </c>
      <c r="B22" s="12" t="inlineStr">
        <is>
          <t>620 Ω</t>
        </is>
      </c>
      <c r="C22" s="19" t="inlineStr">
        <is>
          <t>增益正比於集極端總電阻；620 Ω 剛好把 |A_v| 拉到 20</t>
        </is>
      </c>
      <c r="D22" s="18" t="n"/>
      <c r="E22" s="12" t="n"/>
    </row>
    <row r="23">
      <c r="A23" s="17" t="inlineStr">
        <is>
          <t>R_E1a（不旁路）</t>
        </is>
      </c>
      <c r="B23" s="12" t="inlineStr">
        <is>
          <t>22 Ω</t>
        </is>
      </c>
      <c r="C23" s="19" t="inlineStr">
        <is>
          <t>留一小段不被旁路，增益改由電阻比決定，對 β 與溫度不敏感</t>
        </is>
      </c>
      <c r="D23" s="18" t="n"/>
      <c r="E23" s="12" t="n"/>
    </row>
    <row r="24">
      <c r="A24" s="17" t="inlineStr">
        <is>
          <t>R_E1b（被旁路）</t>
        </is>
      </c>
      <c r="B24" s="12" t="inlineStr">
        <is>
          <t>1 kΩ</t>
        </is>
      </c>
      <c r="C24" s="19" t="inlineStr">
        <is>
          <t>直流偏壓照舊由它決定，工作點不動</t>
        </is>
      </c>
      <c r="D24" s="18" t="n"/>
      <c r="E24" s="12" t="n"/>
    </row>
    <row r="25">
      <c r="A25" s="17" t="inlineStr">
        <is>
          <t>C3</t>
        </is>
      </c>
      <c r="B25" s="12" t="inlineStr">
        <is>
          <t>100 µF</t>
        </is>
      </c>
      <c r="C25" s="19" t="inlineStr">
        <is>
          <t>10 kHz 時容抗 0.16 Ω，遠小於 R_E1a，才算真的旁路掉</t>
        </is>
      </c>
      <c r="D25" s="18" t="n"/>
      <c r="E25" s="12" t="n"/>
    </row>
    <row r="26">
      <c r="A26" s="17" t="inlineStr">
        <is>
          <t>C1、C2</t>
        </is>
      </c>
      <c r="B26" s="12" t="inlineStr">
        <is>
          <t>1 µF</t>
        </is>
      </c>
      <c r="C26" s="19" t="inlineStr">
        <is>
          <t>耦合電容維持講義原值即可，截止頻率遠低於 10 kHz</t>
        </is>
      </c>
      <c r="D26" s="18" t="n"/>
      <c r="E26" s="12" t="n"/>
    </row>
    <row r="27">
      <c r="A27" s="17" t="inlineStr">
        <is>
          <t>V_B / V_E / V_C</t>
        </is>
      </c>
      <c r="B27" s="12" t="inlineStr">
        <is>
          <t>—</t>
        </is>
      </c>
      <c r="C27" s="19" t="inlineStr">
        <is>
          <t>工作點</t>
        </is>
      </c>
      <c r="D27" s="18" t="n"/>
      <c r="E27" s="12" t="inlineStr">
        <is>
          <t>5.88 / 5.18 / 8.87 V</t>
        </is>
      </c>
    </row>
    <row r="28">
      <c r="A28" s="17" t="inlineStr">
        <is>
          <t>實測 |A_v|</t>
        </is>
      </c>
      <c r="B28" s="12" t="inlineStr">
        <is>
          <t>—</t>
        </is>
      </c>
      <c r="C28" s="19" t="inlineStr">
        <is>
          <t>目標 20，±10% 以內都算達標</t>
        </is>
      </c>
      <c r="D28" s="18" t="n"/>
      <c r="E28" s="12" t="n">
        <v>20.13</v>
      </c>
    </row>
    <row r="29">
      <c r="A29" s="2" t="inlineStr">
        <is>
          <t>只把 C3 加大是不夠的：R_C1 = 100 Ω 時無論 C3 多大，|A_v| 最多只到 16.6。詳見筆記「Bonus：把增益設計成 20」一節。</t>
        </is>
      </c>
    </row>
    <row r="31">
      <c r="A31" s="3" t="inlineStr">
        <is>
          <t>當天拍照檢查表（離開實驗室前逐項打勾）</t>
        </is>
      </c>
    </row>
    <row r="32">
      <c r="A32" s="16" t="inlineStr">
        <is>
          <t>要留的證據</t>
        </is>
      </c>
      <c r="B32" s="16" t="inlineStr">
        <is>
          <t>打勾</t>
        </is>
      </c>
      <c r="C32" s="16" t="inlineStr">
        <is>
          <t>備註</t>
        </is>
      </c>
    </row>
    <row r="33">
      <c r="A33" s="17" t="inlineStr">
        <is>
          <t>示波器雙軌畫面 4 張</t>
        </is>
      </c>
      <c r="B33" s="18" t="n"/>
      <c r="C33" s="19" t="inlineStr">
        <is>
          <t>四種組合各一張，CH1／CH2 同時入鏡才看得出反相</t>
        </is>
      </c>
    </row>
    <row r="34">
      <c r="A34" s="17" t="inlineStr">
        <is>
          <t>削波的那張要放大</t>
        </is>
      </c>
      <c r="B34" s="18" t="n"/>
      <c r="C34" s="19" t="inlineStr">
        <is>
          <t>R_C1 = 1 kΩ 的輸出，削平的一邊要看得清楚</t>
        </is>
      </c>
    </row>
    <row r="35">
      <c r="A35" s="17" t="inlineStr">
        <is>
          <t>直流工作點電表照片 1 張</t>
        </is>
      </c>
      <c r="B35" s="18" t="n"/>
      <c r="C35" s="19" t="inlineStr">
        <is>
          <t>V_B、V_E、V_C 三個讀值</t>
        </is>
      </c>
    </row>
    <row r="36">
      <c r="A36" s="17" t="inlineStr">
        <is>
          <t>Bonus 電路的接線照與波形各 1 張</t>
        </is>
      </c>
      <c r="B36" s="18" t="n"/>
      <c r="C36" s="19" t="inlineStr">
        <is>
          <t>元件值改了要拍，結報要對照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2026-10-19T23:44:58Z</dcterms:created>
  <dcterms:modified xmlns:dcterms="http://purl.org/dc/terms/" xmlns:xsi="http://www.w3.org/2001/XMLSchema-instance" xsi:type="dcterms:W3CDTF">2026-10-19T23:44:58Z</dcterms:modified>
</cp:coreProperties>
</file>