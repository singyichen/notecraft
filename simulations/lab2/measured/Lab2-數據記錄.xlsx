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實驗二 beta" sheetId="3" state="visible" r:id="rId3"/>
    <sheet xmlns:r="http://schemas.openxmlformats.org/officeDocument/2006/relationships" name="第二部分 CE 放大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F1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0" fontId="4" fillId="3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1" pivotButton="0" quotePrefix="0" xfId="0"/>
    <xf numFmtId="164" fontId="4" fillId="3" borderId="1" pivotButton="0" quotePrefix="0" xfId="0"/>
    <xf numFmtId="2" fontId="4" fillId="0" borderId="1" pivotButton="0" quotePrefix="0" xfId="0"/>
    <xf numFmtId="2" fontId="5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實驗一：輸出特性曲線 I_C–V_CE（實測 vs LTspice）</a:t>
            </a:r>
          </a:p>
        </rich>
      </tx>
    </title>
    <plotArea>
      <scatterChart>
        <ser>
          <idx val="0"/>
          <order val="0"/>
          <tx>
            <v>實測 V_BB = 1.5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特性曲線'!$B$13:$B$43</f>
            </numRef>
          </xVal>
          <yVal>
            <numRef>
              <f>'實驗一 特性曲線'!$D$13:$D$43</f>
            </numRef>
          </yVal>
        </ser>
        <ser>
          <idx val="1"/>
          <order val="1"/>
          <tx>
            <v>實測 V_BB = 2.0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特性曲線'!$F$13:$F$43</f>
            </numRef>
          </xVal>
          <yVal>
            <numRef>
              <f>'實驗一 特性曲線'!$H$13:$H$43</f>
            </numRef>
          </yVal>
        </ser>
        <ser>
          <idx val="2"/>
          <order val="2"/>
          <tx>
            <v>實測 V_BB = 2.2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特性曲線'!$J$13:$J$43</f>
            </numRef>
          </xVal>
          <yVal>
            <numRef>
              <f>'實驗一 特性曲線'!$L$13:$L$43</f>
            </numRef>
          </yVal>
        </ser>
        <ser>
          <idx val="3"/>
          <order val="3"/>
          <tx>
            <v>實測 V_BB = 2.4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特性曲線'!$N$13:$N$43</f>
            </numRef>
          </xVal>
          <yVal>
            <numRef>
              <f>'實驗一 特性曲線'!$P$13:$P$43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V_CE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I_C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10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Lab 2 BJT 實驗　數據記錄簿</t>
        </is>
      </c>
    </row>
    <row r="2">
      <c r="A2" s="2" t="inlineStr">
        <is>
          <t>電子學實作系列第 6 週．App_Lab2.pdf．兩個部分三張記錄表．當天用筆電直接填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每個實驗一張工作表，只要填**黃底**的格子，其他欄位都是公式或預報值，不要覆蓋。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實驗一要量四組 VBB × 31 個 VCC；時間不夠時先把 2.2 V 與 2.4 V 兩組量完，</t>
        </is>
      </c>
    </row>
    <row r="9">
      <c r="A9" s="4" t="inlineStr"/>
      <c r="B9" s="4" t="inlineStr">
        <is>
          <t xml:space="preserve">　　這兩組才看得出主動區的平坦段，1.5 V 那組全程截止、量五點確認就好。</t>
        </is>
      </c>
    </row>
    <row r="10">
      <c r="A10" s="4" t="inlineStr">
        <is>
          <t>5</t>
        </is>
      </c>
      <c r="B10" s="4" t="inlineStr">
        <is>
          <t>I_C 一律由集極電阻的壓降換算（I_C = V_RC / R_C），電流表只在實驗二串一次；</t>
        </is>
      </c>
    </row>
    <row r="11">
      <c r="A11" s="4" t="inlineStr"/>
      <c r="B11" s="4" t="inlineStr">
        <is>
          <t xml:space="preserve">　　兩種方法的差異就是誤差來源，結報要寫。</t>
        </is>
      </c>
    </row>
    <row r="12">
      <c r="A12" s="4" t="inlineStr">
        <is>
          <t>6</t>
        </is>
      </c>
      <c r="B12" s="4" t="inlineStr">
        <is>
          <t>離開實驗室前跑一次每張工作表下方的「當天拍照檢查表」。</t>
        </is>
      </c>
    </row>
    <row r="13">
      <c r="A13" s="4" t="inlineStr"/>
      <c r="B13" s="4" t="inlineStr"/>
    </row>
    <row r="14">
      <c r="A14" s="3" t="inlineStr">
        <is>
          <t>填寫範例（實驗一，VBB = 2.4 V）</t>
        </is>
      </c>
      <c r="B14" s="4" t="inlineStr"/>
    </row>
    <row r="15" ht="30" customHeight="1">
      <c r="A15" s="5" t="inlineStr">
        <is>
          <t>V_CC (V)</t>
        </is>
      </c>
      <c r="B15" s="5" t="inlineStr">
        <is>
          <t>實測 V_CE (V)</t>
        </is>
      </c>
      <c r="C15" s="5" t="inlineStr">
        <is>
          <t>實測 V_RC (V)</t>
        </is>
      </c>
      <c r="D15" s="5" t="inlineStr">
        <is>
          <t>→ I_C (mA)</t>
        </is>
      </c>
      <c r="E15" s="5" t="inlineStr">
        <is>
          <t>LTspice I_C (mA)</t>
        </is>
      </c>
      <c r="F15" s="5" t="inlineStr">
        <is>
          <t>→ 差異 (%)</t>
        </is>
      </c>
    </row>
    <row r="16">
      <c r="A16" s="6" t="n">
        <v>10</v>
      </c>
      <c r="B16" s="7" t="n">
        <v>2.33</v>
      </c>
      <c r="C16" s="7" t="n">
        <v>7.67</v>
      </c>
      <c r="D16" s="8" t="n">
        <v>7.67</v>
      </c>
      <c r="E16" s="9" t="n">
        <v>4.651</v>
      </c>
      <c r="F16" s="10" t="n">
        <v>0.58</v>
      </c>
    </row>
    <row r="17">
      <c r="A17" s="2" t="inlineStr">
        <is>
          <t>↑ 這一列只是示範格式（Tinkercad 在 VBB 2.4 V／VCC 10 V 讀到 2.33 V 與 7.67 mA 就這樣填），正式表裡沒有這一列。</t>
        </is>
      </c>
    </row>
    <row r="19">
      <c r="A19" s="3" t="inlineStr">
        <is>
          <t>資料來源</t>
        </is>
      </c>
    </row>
    <row r="20">
      <c r="A20" s="2" t="inlineStr">
        <is>
          <t>預報欄由 simulations/lab2/*.raw（LTspice，內建 2N2222 模型）以 build_record_xlsx.py 產生；量測級距出自助教的「Lab 2 實驗量測項目」投影片。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  <col width="15" customWidth="1" min="8" max="8"/>
    <col width="15" customWidth="1" min="9" max="9"/>
    <col width="13" customWidth="1" min="10" max="10"/>
    <col width="13" customWidth="1" min="11" max="11"/>
    <col width="15" customWidth="1" min="12" max="12"/>
    <col width="15" customWidth="1" min="13" max="13"/>
    <col width="13" customWidth="1" min="14" max="14"/>
    <col width="13" customWidth="1" min="15" max="15"/>
    <col width="15" customWidth="1" min="16" max="16"/>
    <col width="15" customWidth="1" min="17" max="17"/>
  </cols>
  <sheetData>
    <row r="1">
      <c r="A1" s="1" t="inlineStr">
        <is>
          <t>實驗一：BJT 偏壓與輸出特性曲線（BJT Biasing &amp; Characteristic Curve）</t>
        </is>
      </c>
    </row>
    <row r="2">
      <c r="A2" s="2" t="inlineStr">
        <is>
          <t>講義第 7–8 頁 Table 1：四組 V_BB，各自把 V_CC 從 0 掃到 15 V，記 V_CE 與 I_C</t>
        </is>
      </c>
    </row>
    <row r="4">
      <c r="A4" s="3" t="inlineStr">
        <is>
          <t>集極電阻 R_C (Ω)</t>
        </is>
      </c>
      <c r="B4" s="11" t="n">
        <v>1000</v>
      </c>
      <c r="C4" s="2" t="inlineStr">
        <is>
          <t>← 講義指定 1 kΩ；改這一格，所有 I_C 計算欄會跟著變</t>
        </is>
      </c>
      <c r="E4" s="3" t="inlineStr">
        <is>
          <t>各組的 V_BE（導通後幾乎不變，量一次即可）與 ON/OFF 判定</t>
        </is>
      </c>
    </row>
    <row r="5" ht="20" customHeight="1">
      <c r="A5" s="5" t="inlineStr"/>
      <c r="B5" s="5" t="inlineStr"/>
      <c r="C5" s="5" t="inlineStr"/>
      <c r="D5" s="5" t="inlineStr"/>
      <c r="E5" s="5" t="inlineStr">
        <is>
          <t>V_BB (V)</t>
        </is>
      </c>
      <c r="F5" s="5" t="inlineStr">
        <is>
          <t>實測 V_BE (V)</t>
        </is>
      </c>
      <c r="G5" s="5" t="inlineStr">
        <is>
          <t>LTspice V_BE (V)</t>
        </is>
      </c>
      <c r="H5" s="5" t="inlineStr">
        <is>
          <t>ON / OFF</t>
        </is>
      </c>
    </row>
    <row r="6">
      <c r="E6" s="6" t="n">
        <v>1.5</v>
      </c>
      <c r="F6" s="7" t="n"/>
      <c r="G6" s="9" t="n">
        <v>0.48</v>
      </c>
      <c r="H6" s="12" t="n"/>
    </row>
    <row r="7">
      <c r="E7" s="6" t="n">
        <v>2</v>
      </c>
      <c r="F7" s="7" t="n"/>
      <c r="G7" s="9" t="n">
        <v>0.633</v>
      </c>
      <c r="H7" s="12" t="n"/>
    </row>
    <row r="8">
      <c r="E8" s="6" t="n">
        <v>2.2</v>
      </c>
      <c r="F8" s="7" t="n"/>
      <c r="G8" s="9" t="n">
        <v>0.673</v>
      </c>
      <c r="H8" s="12" t="n"/>
    </row>
    <row r="9">
      <c r="E9" s="6" t="n">
        <v>2.4</v>
      </c>
      <c r="F9" s="7" t="n"/>
      <c r="G9" s="9" t="n">
        <v>0.695</v>
      </c>
      <c r="H9" s="12" t="n"/>
    </row>
    <row r="11">
      <c r="B11" s="13" t="inlineStr">
        <is>
          <t>V_BB = 1.5 V</t>
        </is>
      </c>
      <c r="C11" s="14" t="n"/>
      <c r="D11" s="14" t="n"/>
      <c r="E11" s="14" t="n"/>
      <c r="F11" s="13" t="inlineStr">
        <is>
          <t>V_BB = 2.0 V</t>
        </is>
      </c>
      <c r="G11" s="14" t="n"/>
      <c r="H11" s="14" t="n"/>
      <c r="I11" s="14" t="n"/>
      <c r="J11" s="13" t="inlineStr">
        <is>
          <t>V_BB = 2.2 V</t>
        </is>
      </c>
      <c r="K11" s="14" t="n"/>
      <c r="L11" s="14" t="n"/>
      <c r="M11" s="14" t="n"/>
      <c r="N11" s="13" t="inlineStr">
        <is>
          <t>V_BB = 2.4 V</t>
        </is>
      </c>
      <c r="O11" s="14" t="n"/>
      <c r="P11" s="14" t="n"/>
      <c r="Q11" s="14" t="n"/>
    </row>
    <row r="12" ht="34" customHeight="1">
      <c r="A12" s="5" t="inlineStr">
        <is>
          <t>V_CC (V)</t>
        </is>
      </c>
      <c r="B12" s="5" t="inlineStr">
        <is>
          <t>實測 V_CE (V)</t>
        </is>
      </c>
      <c r="C12" s="5" t="inlineStr">
        <is>
          <t>實測 V_RC (V)</t>
        </is>
      </c>
      <c r="D12" s="5" t="inlineStr">
        <is>
          <t>I_C = V_RC/R_C (mA)</t>
        </is>
      </c>
      <c r="E12" s="5" t="inlineStr">
        <is>
          <t>LTspice I_C (mA)</t>
        </is>
      </c>
      <c r="F12" s="5" t="inlineStr">
        <is>
          <t>實測 V_CE (V)</t>
        </is>
      </c>
      <c r="G12" s="5" t="inlineStr">
        <is>
          <t>實測 V_RC (V)</t>
        </is>
      </c>
      <c r="H12" s="5" t="inlineStr">
        <is>
          <t>I_C = V_RC/R_C (mA)</t>
        </is>
      </c>
      <c r="I12" s="5" t="inlineStr">
        <is>
          <t>LTspice I_C (mA)</t>
        </is>
      </c>
      <c r="J12" s="5" t="inlineStr">
        <is>
          <t>實測 V_CE (V)</t>
        </is>
      </c>
      <c r="K12" s="5" t="inlineStr">
        <is>
          <t>實測 V_RC (V)</t>
        </is>
      </c>
      <c r="L12" s="5" t="inlineStr">
        <is>
          <t>I_C = V_RC/R_C (mA)</t>
        </is>
      </c>
      <c r="M12" s="5" t="inlineStr">
        <is>
          <t>LTspice I_C (mA)</t>
        </is>
      </c>
      <c r="N12" s="5" t="inlineStr">
        <is>
          <t>實測 V_CE (V)</t>
        </is>
      </c>
      <c r="O12" s="5" t="inlineStr">
        <is>
          <t>實測 V_RC (V)</t>
        </is>
      </c>
      <c r="P12" s="5" t="inlineStr">
        <is>
          <t>I_C = V_RC/R_C (mA)</t>
        </is>
      </c>
      <c r="Q12" s="5" t="inlineStr">
        <is>
          <t>LTspice I_C (mA)</t>
        </is>
      </c>
    </row>
    <row r="13">
      <c r="A13" s="6" t="n">
        <v>0</v>
      </c>
      <c r="B13" s="7" t="n"/>
      <c r="C13" s="7" t="n"/>
      <c r="D13" s="8">
        <f>IF(C13="","",C13/$B$4*1000)</f>
        <v/>
      </c>
      <c r="E13" s="9" t="n">
        <v>-0.0003</v>
      </c>
      <c r="F13" s="7" t="n"/>
      <c r="G13" s="7" t="n"/>
      <c r="H13" s="8">
        <f>IF(G13="","",G13/$B$4*1000)</f>
        <v/>
      </c>
      <c r="I13" s="9" t="n">
        <v>-0.0054</v>
      </c>
      <c r="J13" s="7" t="n"/>
      <c r="K13" s="7" t="n"/>
      <c r="L13" s="8">
        <f>IF(K13="","",K13/$B$4*1000)</f>
        <v/>
      </c>
      <c r="M13" s="9" t="n">
        <v>-0.0062</v>
      </c>
      <c r="N13" s="7" t="n"/>
      <c r="O13" s="7" t="n"/>
      <c r="P13" s="8">
        <f>IF(O13="","",O13/$B$4*1000)</f>
        <v/>
      </c>
      <c r="Q13" s="9" t="n">
        <v>-0.0066</v>
      </c>
    </row>
    <row r="14">
      <c r="A14" s="6" t="n">
        <v>0.5</v>
      </c>
      <c r="B14" s="7" t="n"/>
      <c r="C14" s="7" t="n"/>
      <c r="D14" s="8">
        <f>IF(C14="","",C14/$B$4*1000)</f>
        <v/>
      </c>
      <c r="E14" s="9" t="n">
        <v>0.0011</v>
      </c>
      <c r="F14" s="7" t="n"/>
      <c r="G14" s="7" t="n"/>
      <c r="H14" s="8">
        <f>IF(G14="","",G14/$B$4*1000)</f>
        <v/>
      </c>
      <c r="I14" s="9" t="n">
        <v>0.3741</v>
      </c>
      <c r="J14" s="7" t="n"/>
      <c r="K14" s="7" t="n"/>
      <c r="L14" s="8">
        <f>IF(K14="","",K14/$B$4*1000)</f>
        <v/>
      </c>
      <c r="M14" s="9" t="n">
        <v>0.4411</v>
      </c>
      <c r="N14" s="7" t="n"/>
      <c r="O14" s="7" t="n"/>
      <c r="P14" s="8">
        <f>IF(O14="","",O14/$B$4*1000)</f>
        <v/>
      </c>
      <c r="Q14" s="9" t="n">
        <v>0.4553</v>
      </c>
    </row>
    <row r="15">
      <c r="A15" s="6" t="n">
        <v>1</v>
      </c>
      <c r="B15" s="7" t="n"/>
      <c r="C15" s="7" t="n"/>
      <c r="D15" s="8">
        <f>IF(C15="","",C15/$B$4*1000)</f>
        <v/>
      </c>
      <c r="E15" s="9" t="n">
        <v>0.0011</v>
      </c>
      <c r="F15" s="7" t="n"/>
      <c r="G15" s="7" t="n"/>
      <c r="H15" s="8">
        <f>IF(G15="","",G15/$B$4*1000)</f>
        <v/>
      </c>
      <c r="I15" s="9" t="n">
        <v>0.4186</v>
      </c>
      <c r="J15" s="7" t="n"/>
      <c r="K15" s="7" t="n"/>
      <c r="L15" s="8">
        <f>IF(K15="","",K15/$B$4*1000)</f>
        <v/>
      </c>
      <c r="M15" s="9" t="n">
        <v>0.9111</v>
      </c>
      <c r="N15" s="7" t="n"/>
      <c r="O15" s="7" t="n"/>
      <c r="P15" s="8">
        <f>IF(O15="","",O15/$B$4*1000)</f>
        <v/>
      </c>
      <c r="Q15" s="9" t="n">
        <v>0.9350000000000001</v>
      </c>
    </row>
    <row r="16">
      <c r="A16" s="6" t="n">
        <v>1.5</v>
      </c>
      <c r="B16" s="7" t="n"/>
      <c r="C16" s="7" t="n"/>
      <c r="D16" s="8">
        <f>IF(C16="","",C16/$B$4*1000)</f>
        <v/>
      </c>
      <c r="E16" s="9" t="n">
        <v>0.0011</v>
      </c>
      <c r="F16" s="7" t="n"/>
      <c r="G16" s="7" t="n"/>
      <c r="H16" s="8">
        <f>IF(G16="","",G16/$B$4*1000)</f>
        <v/>
      </c>
      <c r="I16" s="9" t="n">
        <v>0.4207</v>
      </c>
      <c r="J16" s="7" t="n"/>
      <c r="K16" s="7" t="n"/>
      <c r="L16" s="8">
        <f>IF(K16="","",K16/$B$4*1000)</f>
        <v/>
      </c>
      <c r="M16" s="9" t="n">
        <v>1.3821</v>
      </c>
      <c r="N16" s="7" t="n"/>
      <c r="O16" s="7" t="n"/>
      <c r="P16" s="8">
        <f>IF(O16="","",O16/$B$4*1000)</f>
        <v/>
      </c>
      <c r="Q16" s="9" t="n">
        <v>1.42</v>
      </c>
    </row>
    <row r="17">
      <c r="A17" s="6" t="n">
        <v>2</v>
      </c>
      <c r="B17" s="7" t="n"/>
      <c r="C17" s="7" t="n"/>
      <c r="D17" s="8">
        <f>IF(C17="","",C17/$B$4*1000)</f>
        <v/>
      </c>
      <c r="E17" s="9" t="n">
        <v>0.0011</v>
      </c>
      <c r="F17" s="7" t="n"/>
      <c r="G17" s="7" t="n"/>
      <c r="H17" s="8">
        <f>IF(G17="","",G17/$B$4*1000)</f>
        <v/>
      </c>
      <c r="I17" s="9" t="n">
        <v>0.4228</v>
      </c>
      <c r="J17" s="7" t="n"/>
      <c r="K17" s="7" t="n"/>
      <c r="L17" s="8">
        <f>IF(K17="","",K17/$B$4*1000)</f>
        <v/>
      </c>
      <c r="M17" s="9" t="n">
        <v>1.8252</v>
      </c>
      <c r="N17" s="7" t="n"/>
      <c r="O17" s="7" t="n"/>
      <c r="P17" s="8">
        <f>IF(O17="","",O17/$B$4*1000)</f>
        <v/>
      </c>
      <c r="Q17" s="9" t="n">
        <v>1.9072</v>
      </c>
    </row>
    <row r="18">
      <c r="A18" s="6" t="n">
        <v>2.5</v>
      </c>
      <c r="B18" s="7" t="n"/>
      <c r="C18" s="7" t="n"/>
      <c r="D18" s="8">
        <f>IF(C18="","",C18/$B$4*1000)</f>
        <v/>
      </c>
      <c r="E18" s="9" t="n">
        <v>0.0012</v>
      </c>
      <c r="F18" s="7" t="n"/>
      <c r="G18" s="7" t="n"/>
      <c r="H18" s="8">
        <f>IF(G18="","",G18/$B$4*1000)</f>
        <v/>
      </c>
      <c r="I18" s="9" t="n">
        <v>0.4249</v>
      </c>
      <c r="J18" s="7" t="n"/>
      <c r="K18" s="7" t="n"/>
      <c r="L18" s="8">
        <f>IF(K18="","",K18/$B$4*1000)</f>
        <v/>
      </c>
      <c r="M18" s="9" t="n">
        <v>1.9141</v>
      </c>
      <c r="N18" s="7" t="n"/>
      <c r="O18" s="7" t="n"/>
      <c r="P18" s="8">
        <f>IF(O18="","",O18/$B$4*1000)</f>
        <v/>
      </c>
      <c r="Q18" s="9" t="n">
        <v>2.3951</v>
      </c>
    </row>
    <row r="19">
      <c r="A19" s="6" t="n">
        <v>3</v>
      </c>
      <c r="B19" s="7" t="n"/>
      <c r="C19" s="7" t="n"/>
      <c r="D19" s="8">
        <f>IF(C19="","",C19/$B$4*1000)</f>
        <v/>
      </c>
      <c r="E19" s="9" t="n">
        <v>0.0012</v>
      </c>
      <c r="F19" s="7" t="n"/>
      <c r="G19" s="7" t="n"/>
      <c r="H19" s="8">
        <f>IF(G19="","",G19/$B$4*1000)</f>
        <v/>
      </c>
      <c r="I19" s="9" t="n">
        <v>0.4269</v>
      </c>
      <c r="J19" s="7" t="n"/>
      <c r="K19" s="7" t="n"/>
      <c r="L19" s="8">
        <f>IF(K19="","",K19/$B$4*1000)</f>
        <v/>
      </c>
      <c r="M19" s="9" t="n">
        <v>1.9234</v>
      </c>
      <c r="N19" s="7" t="n"/>
      <c r="O19" s="7" t="n"/>
      <c r="P19" s="8">
        <f>IF(O19="","",O19/$B$4*1000)</f>
        <v/>
      </c>
      <c r="Q19" s="9" t="n">
        <v>2.8825</v>
      </c>
    </row>
    <row r="20">
      <c r="A20" s="6" t="n">
        <v>3.5</v>
      </c>
      <c r="B20" s="7" t="n"/>
      <c r="C20" s="7" t="n"/>
      <c r="D20" s="8">
        <f>IF(C20="","",C20/$B$4*1000)</f>
        <v/>
      </c>
      <c r="E20" s="9" t="n">
        <v>0.0012</v>
      </c>
      <c r="F20" s="7" t="n"/>
      <c r="G20" s="7" t="n"/>
      <c r="H20" s="8">
        <f>IF(G20="","",G20/$B$4*1000)</f>
        <v/>
      </c>
      <c r="I20" s="9" t="n">
        <v>0.429</v>
      </c>
      <c r="J20" s="7" t="n"/>
      <c r="K20" s="7" t="n"/>
      <c r="L20" s="8">
        <f>IF(K20="","",K20/$B$4*1000)</f>
        <v/>
      </c>
      <c r="M20" s="9" t="n">
        <v>1.9328</v>
      </c>
      <c r="N20" s="7" t="n"/>
      <c r="O20" s="7" t="n"/>
      <c r="P20" s="8">
        <f>IF(O20="","",O20/$B$4*1000)</f>
        <v/>
      </c>
      <c r="Q20" s="9" t="n">
        <v>3.3681</v>
      </c>
    </row>
    <row r="21">
      <c r="A21" s="6" t="n">
        <v>4</v>
      </c>
      <c r="B21" s="7" t="n"/>
      <c r="C21" s="7" t="n"/>
      <c r="D21" s="8">
        <f>IF(C21="","",C21/$B$4*1000)</f>
        <v/>
      </c>
      <c r="E21" s="9" t="n">
        <v>0.0012</v>
      </c>
      <c r="F21" s="7" t="n"/>
      <c r="G21" s="7" t="n"/>
      <c r="H21" s="8">
        <f>IF(G21="","",G21/$B$4*1000)</f>
        <v/>
      </c>
      <c r="I21" s="9" t="n">
        <v>0.4311</v>
      </c>
      <c r="J21" s="7" t="n"/>
      <c r="K21" s="7" t="n"/>
      <c r="L21" s="8">
        <f>IF(K21="","",K21/$B$4*1000)</f>
        <v/>
      </c>
      <c r="M21" s="9" t="n">
        <v>1.9421</v>
      </c>
      <c r="N21" s="7" t="n"/>
      <c r="O21" s="7" t="n"/>
      <c r="P21" s="8">
        <f>IF(O21="","",O21/$B$4*1000)</f>
        <v/>
      </c>
      <c r="Q21" s="9" t="n">
        <v>3.8484</v>
      </c>
    </row>
    <row r="22">
      <c r="A22" s="6" t="n">
        <v>4.5</v>
      </c>
      <c r="B22" s="7" t="n"/>
      <c r="C22" s="7" t="n"/>
      <c r="D22" s="8">
        <f>IF(C22="","",C22/$B$4*1000)</f>
        <v/>
      </c>
      <c r="E22" s="9" t="n">
        <v>0.0012</v>
      </c>
      <c r="F22" s="7" t="n"/>
      <c r="G22" s="7" t="n"/>
      <c r="H22" s="8">
        <f>IF(G22="","",G22/$B$4*1000)</f>
        <v/>
      </c>
      <c r="I22" s="9" t="n">
        <v>0.4332</v>
      </c>
      <c r="J22" s="7" t="n"/>
      <c r="K22" s="7" t="n"/>
      <c r="L22" s="8">
        <f>IF(K22="","",K22/$B$4*1000)</f>
        <v/>
      </c>
      <c r="M22" s="9" t="n">
        <v>1.9514</v>
      </c>
      <c r="N22" s="7" t="n"/>
      <c r="O22" s="7" t="n"/>
      <c r="P22" s="8">
        <f>IF(O22="","",O22/$B$4*1000)</f>
        <v/>
      </c>
      <c r="Q22" s="9" t="n">
        <v>4.3045</v>
      </c>
    </row>
    <row r="23">
      <c r="A23" s="6" t="n">
        <v>5</v>
      </c>
      <c r="B23" s="7" t="n"/>
      <c r="C23" s="7" t="n"/>
      <c r="D23" s="8">
        <f>IF(C23="","",C23/$B$4*1000)</f>
        <v/>
      </c>
      <c r="E23" s="9" t="n">
        <v>0.0012</v>
      </c>
      <c r="F23" s="7" t="n"/>
      <c r="G23" s="7" t="n"/>
      <c r="H23" s="8">
        <f>IF(G23="","",G23/$B$4*1000)</f>
        <v/>
      </c>
      <c r="I23" s="9" t="n">
        <v>0.4353</v>
      </c>
      <c r="J23" s="7" t="n"/>
      <c r="K23" s="7" t="n"/>
      <c r="L23" s="8">
        <f>IF(K23="","",K23/$B$4*1000)</f>
        <v/>
      </c>
      <c r="M23" s="9" t="n">
        <v>1.9608</v>
      </c>
      <c r="N23" s="7" t="n"/>
      <c r="O23" s="7" t="n"/>
      <c r="P23" s="8">
        <f>IF(O23="","",O23/$B$4*1000)</f>
        <v/>
      </c>
      <c r="Q23" s="9" t="n">
        <v>4.4404</v>
      </c>
    </row>
    <row r="24">
      <c r="A24" s="6" t="n">
        <v>5.5</v>
      </c>
      <c r="B24" s="7" t="n"/>
      <c r="C24" s="7" t="n"/>
      <c r="D24" s="8">
        <f>IF(C24="","",C24/$B$4*1000)</f>
        <v/>
      </c>
      <c r="E24" s="9" t="n">
        <v>0.0012</v>
      </c>
      <c r="F24" s="7" t="n"/>
      <c r="G24" s="7" t="n"/>
      <c r="H24" s="8">
        <f>IF(G24="","",G24/$B$4*1000)</f>
        <v/>
      </c>
      <c r="I24" s="9" t="n">
        <v>0.4373</v>
      </c>
      <c r="J24" s="7" t="n"/>
      <c r="K24" s="7" t="n"/>
      <c r="L24" s="8">
        <f>IF(K24="","",K24/$B$4*1000)</f>
        <v/>
      </c>
      <c r="M24" s="9" t="n">
        <v>1.9701</v>
      </c>
      <c r="N24" s="7" t="n"/>
      <c r="O24" s="7" t="n"/>
      <c r="P24" s="8">
        <f>IF(O24="","",O24/$B$4*1000)</f>
        <v/>
      </c>
      <c r="Q24" s="9" t="n">
        <v>4.4615</v>
      </c>
    </row>
    <row r="25">
      <c r="A25" s="6" t="n">
        <v>6</v>
      </c>
      <c r="B25" s="7" t="n"/>
      <c r="C25" s="7" t="n"/>
      <c r="D25" s="8">
        <f>IF(C25="","",C25/$B$4*1000)</f>
        <v/>
      </c>
      <c r="E25" s="9" t="n">
        <v>0.0012</v>
      </c>
      <c r="F25" s="7" t="n"/>
      <c r="G25" s="7" t="n"/>
      <c r="H25" s="8">
        <f>IF(G25="","",G25/$B$4*1000)</f>
        <v/>
      </c>
      <c r="I25" s="9" t="n">
        <v>0.4394</v>
      </c>
      <c r="J25" s="7" t="n"/>
      <c r="K25" s="7" t="n"/>
      <c r="L25" s="8">
        <f>IF(K25="","",K25/$B$4*1000)</f>
        <v/>
      </c>
      <c r="M25" s="9" t="n">
        <v>1.9794</v>
      </c>
      <c r="N25" s="7" t="n"/>
      <c r="O25" s="7" t="n"/>
      <c r="P25" s="8">
        <f>IF(O25="","",O25/$B$4*1000)</f>
        <v/>
      </c>
      <c r="Q25" s="9" t="n">
        <v>4.4826</v>
      </c>
    </row>
    <row r="26">
      <c r="A26" s="6" t="n">
        <v>6.5</v>
      </c>
      <c r="B26" s="7" t="n"/>
      <c r="C26" s="7" t="n"/>
      <c r="D26" s="8">
        <f>IF(C26="","",C26/$B$4*1000)</f>
        <v/>
      </c>
      <c r="E26" s="9" t="n">
        <v>0.0012</v>
      </c>
      <c r="F26" s="7" t="n"/>
      <c r="G26" s="7" t="n"/>
      <c r="H26" s="8">
        <f>IF(G26="","",G26/$B$4*1000)</f>
        <v/>
      </c>
      <c r="I26" s="9" t="n">
        <v>0.4415</v>
      </c>
      <c r="J26" s="7" t="n"/>
      <c r="K26" s="7" t="n"/>
      <c r="L26" s="8">
        <f>IF(K26="","",K26/$B$4*1000)</f>
        <v/>
      </c>
      <c r="M26" s="9" t="n">
        <v>1.9888</v>
      </c>
      <c r="N26" s="7" t="n"/>
      <c r="O26" s="7" t="n"/>
      <c r="P26" s="8">
        <f>IF(O26="","",O26/$B$4*1000)</f>
        <v/>
      </c>
      <c r="Q26" s="9" t="n">
        <v>4.5037</v>
      </c>
    </row>
    <row r="27">
      <c r="A27" s="6" t="n">
        <v>7</v>
      </c>
      <c r="B27" s="7" t="n"/>
      <c r="C27" s="7" t="n"/>
      <c r="D27" s="8">
        <f>IF(C27="","",C27/$B$4*1000)</f>
        <v/>
      </c>
      <c r="E27" s="9" t="n">
        <v>0.0012</v>
      </c>
      <c r="F27" s="7" t="n"/>
      <c r="G27" s="7" t="n"/>
      <c r="H27" s="8">
        <f>IF(G27="","",G27/$B$4*1000)</f>
        <v/>
      </c>
      <c r="I27" s="9" t="n">
        <v>0.4436</v>
      </c>
      <c r="J27" s="7" t="n"/>
      <c r="K27" s="7" t="n"/>
      <c r="L27" s="8">
        <f>IF(K27="","",K27/$B$4*1000)</f>
        <v/>
      </c>
      <c r="M27" s="9" t="n">
        <v>1.9981</v>
      </c>
      <c r="N27" s="7" t="n"/>
      <c r="O27" s="7" t="n"/>
      <c r="P27" s="8">
        <f>IF(O27="","",O27/$B$4*1000)</f>
        <v/>
      </c>
      <c r="Q27" s="9" t="n">
        <v>4.5248</v>
      </c>
    </row>
    <row r="28">
      <c r="A28" s="6" t="n">
        <v>7.5</v>
      </c>
      <c r="B28" s="7" t="n"/>
      <c r="C28" s="7" t="n"/>
      <c r="D28" s="8">
        <f>IF(C28="","",C28/$B$4*1000)</f>
        <v/>
      </c>
      <c r="E28" s="9" t="n">
        <v>0.0012</v>
      </c>
      <c r="F28" s="7" t="n"/>
      <c r="G28" s="7" t="n"/>
      <c r="H28" s="8">
        <f>IF(G28="","",G28/$B$4*1000)</f>
        <v/>
      </c>
      <c r="I28" s="9" t="n">
        <v>0.4457</v>
      </c>
      <c r="J28" s="7" t="n"/>
      <c r="K28" s="7" t="n"/>
      <c r="L28" s="8">
        <f>IF(K28="","",K28/$B$4*1000)</f>
        <v/>
      </c>
      <c r="M28" s="9" t="n">
        <v>2.0074</v>
      </c>
      <c r="N28" s="7" t="n"/>
      <c r="O28" s="7" t="n"/>
      <c r="P28" s="8">
        <f>IF(O28="","",O28/$B$4*1000)</f>
        <v/>
      </c>
      <c r="Q28" s="9" t="n">
        <v>4.5459</v>
      </c>
    </row>
    <row r="29">
      <c r="A29" s="6" t="n">
        <v>8</v>
      </c>
      <c r="B29" s="7" t="n"/>
      <c r="C29" s="7" t="n"/>
      <c r="D29" s="8">
        <f>IF(C29="","",C29/$B$4*1000)</f>
        <v/>
      </c>
      <c r="E29" s="9" t="n">
        <v>0.0012</v>
      </c>
      <c r="F29" s="7" t="n"/>
      <c r="G29" s="7" t="n"/>
      <c r="H29" s="8">
        <f>IF(G29="","",G29/$B$4*1000)</f>
        <v/>
      </c>
      <c r="I29" s="9" t="n">
        <v>0.4477</v>
      </c>
      <c r="J29" s="7" t="n"/>
      <c r="K29" s="7" t="n"/>
      <c r="L29" s="8">
        <f>IF(K29="","",K29/$B$4*1000)</f>
        <v/>
      </c>
      <c r="M29" s="9" t="n">
        <v>2.0168</v>
      </c>
      <c r="N29" s="7" t="n"/>
      <c r="O29" s="7" t="n"/>
      <c r="P29" s="8">
        <f>IF(O29="","",O29/$B$4*1000)</f>
        <v/>
      </c>
      <c r="Q29" s="9" t="n">
        <v>4.567</v>
      </c>
    </row>
    <row r="30">
      <c r="A30" s="6" t="n">
        <v>8.5</v>
      </c>
      <c r="B30" s="7" t="n"/>
      <c r="C30" s="7" t="n"/>
      <c r="D30" s="8">
        <f>IF(C30="","",C30/$B$4*1000)</f>
        <v/>
      </c>
      <c r="E30" s="9" t="n">
        <v>0.0012</v>
      </c>
      <c r="F30" s="7" t="n"/>
      <c r="G30" s="7" t="n"/>
      <c r="H30" s="8">
        <f>IF(G30="","",G30/$B$4*1000)</f>
        <v/>
      </c>
      <c r="I30" s="9" t="n">
        <v>0.4498</v>
      </c>
      <c r="J30" s="7" t="n"/>
      <c r="K30" s="7" t="n"/>
      <c r="L30" s="8">
        <f>IF(K30="","",K30/$B$4*1000)</f>
        <v/>
      </c>
      <c r="M30" s="9" t="n">
        <v>2.0261</v>
      </c>
      <c r="N30" s="7" t="n"/>
      <c r="O30" s="7" t="n"/>
      <c r="P30" s="8">
        <f>IF(O30="","",O30/$B$4*1000)</f>
        <v/>
      </c>
      <c r="Q30" s="9" t="n">
        <v>4.5881</v>
      </c>
    </row>
    <row r="31">
      <c r="A31" s="6" t="n">
        <v>9</v>
      </c>
      <c r="B31" s="7" t="n"/>
      <c r="C31" s="7" t="n"/>
      <c r="D31" s="8">
        <f>IF(C31="","",C31/$B$4*1000)</f>
        <v/>
      </c>
      <c r="E31" s="9" t="n">
        <v>0.0012</v>
      </c>
      <c r="F31" s="7" t="n"/>
      <c r="G31" s="7" t="n"/>
      <c r="H31" s="8">
        <f>IF(G31="","",G31/$B$4*1000)</f>
        <v/>
      </c>
      <c r="I31" s="9" t="n">
        <v>0.4519</v>
      </c>
      <c r="J31" s="7" t="n"/>
      <c r="K31" s="7" t="n"/>
      <c r="L31" s="8">
        <f>IF(K31="","",K31/$B$4*1000)</f>
        <v/>
      </c>
      <c r="M31" s="9" t="n">
        <v>2.0354</v>
      </c>
      <c r="N31" s="7" t="n"/>
      <c r="O31" s="7" t="n"/>
      <c r="P31" s="8">
        <f>IF(O31="","",O31/$B$4*1000)</f>
        <v/>
      </c>
      <c r="Q31" s="9" t="n">
        <v>4.6092</v>
      </c>
    </row>
    <row r="32">
      <c r="A32" s="6" t="n">
        <v>9.5</v>
      </c>
      <c r="B32" s="7" t="n"/>
      <c r="C32" s="7" t="n"/>
      <c r="D32" s="8">
        <f>IF(C32="","",C32/$B$4*1000)</f>
        <v/>
      </c>
      <c r="E32" s="9" t="n">
        <v>0.0012</v>
      </c>
      <c r="F32" s="7" t="n"/>
      <c r="G32" s="7" t="n"/>
      <c r="H32" s="8">
        <f>IF(G32="","",G32/$B$4*1000)</f>
        <v/>
      </c>
      <c r="I32" s="9" t="n">
        <v>0.454</v>
      </c>
      <c r="J32" s="7" t="n"/>
      <c r="K32" s="7" t="n"/>
      <c r="L32" s="8">
        <f>IF(K32="","",K32/$B$4*1000)</f>
        <v/>
      </c>
      <c r="M32" s="9" t="n">
        <v>2.0448</v>
      </c>
      <c r="N32" s="7" t="n"/>
      <c r="O32" s="7" t="n"/>
      <c r="P32" s="8">
        <f>IF(O32="","",O32/$B$4*1000)</f>
        <v/>
      </c>
      <c r="Q32" s="9" t="n">
        <v>4.6302</v>
      </c>
    </row>
    <row r="33">
      <c r="A33" s="6" t="n">
        <v>10</v>
      </c>
      <c r="B33" s="7" t="n"/>
      <c r="C33" s="7" t="n"/>
      <c r="D33" s="8">
        <f>IF(C33="","",C33/$B$4*1000)</f>
        <v/>
      </c>
      <c r="E33" s="9" t="n">
        <v>0.0012</v>
      </c>
      <c r="F33" s="7" t="n"/>
      <c r="G33" s="7" t="n"/>
      <c r="H33" s="8">
        <f>IF(G33="","",G33/$B$4*1000)</f>
        <v/>
      </c>
      <c r="I33" s="9" t="n">
        <v>0.4561</v>
      </c>
      <c r="J33" s="7" t="n"/>
      <c r="K33" s="7" t="n"/>
      <c r="L33" s="8">
        <f>IF(K33="","",K33/$B$4*1000)</f>
        <v/>
      </c>
      <c r="M33" s="9" t="n">
        <v>2.0541</v>
      </c>
      <c r="N33" s="7" t="n"/>
      <c r="O33" s="7" t="n"/>
      <c r="P33" s="8">
        <f>IF(O33="","",O33/$B$4*1000)</f>
        <v/>
      </c>
      <c r="Q33" s="9" t="n">
        <v>4.6513</v>
      </c>
    </row>
    <row r="34">
      <c r="A34" s="6" t="n">
        <v>10.5</v>
      </c>
      <c r="B34" s="7" t="n"/>
      <c r="C34" s="7" t="n"/>
      <c r="D34" s="8">
        <f>IF(C34="","",C34/$B$4*1000)</f>
        <v/>
      </c>
      <c r="E34" s="9" t="n">
        <v>0.0012</v>
      </c>
      <c r="F34" s="7" t="n"/>
      <c r="G34" s="7" t="n"/>
      <c r="H34" s="8">
        <f>IF(G34="","",G34/$B$4*1000)</f>
        <v/>
      </c>
      <c r="I34" s="9" t="n">
        <v>0.4581</v>
      </c>
      <c r="J34" s="7" t="n"/>
      <c r="K34" s="7" t="n"/>
      <c r="L34" s="8">
        <f>IF(K34="","",K34/$B$4*1000)</f>
        <v/>
      </c>
      <c r="M34" s="9" t="n">
        <v>2.0634</v>
      </c>
      <c r="N34" s="7" t="n"/>
      <c r="O34" s="7" t="n"/>
      <c r="P34" s="8">
        <f>IF(O34="","",O34/$B$4*1000)</f>
        <v/>
      </c>
      <c r="Q34" s="9" t="n">
        <v>4.6724</v>
      </c>
    </row>
    <row r="35">
      <c r="A35" s="6" t="n">
        <v>11</v>
      </c>
      <c r="B35" s="7" t="n"/>
      <c r="C35" s="7" t="n"/>
      <c r="D35" s="8">
        <f>IF(C35="","",C35/$B$4*1000)</f>
        <v/>
      </c>
      <c r="E35" s="9" t="n">
        <v>0.0012</v>
      </c>
      <c r="F35" s="7" t="n"/>
      <c r="G35" s="7" t="n"/>
      <c r="H35" s="8">
        <f>IF(G35="","",G35/$B$4*1000)</f>
        <v/>
      </c>
      <c r="I35" s="9" t="n">
        <v>0.4602</v>
      </c>
      <c r="J35" s="7" t="n"/>
      <c r="K35" s="7" t="n"/>
      <c r="L35" s="8">
        <f>IF(K35="","",K35/$B$4*1000)</f>
        <v/>
      </c>
      <c r="M35" s="9" t="n">
        <v>2.0727</v>
      </c>
      <c r="N35" s="7" t="n"/>
      <c r="O35" s="7" t="n"/>
      <c r="P35" s="8">
        <f>IF(O35="","",O35/$B$4*1000)</f>
        <v/>
      </c>
      <c r="Q35" s="9" t="n">
        <v>4.6935</v>
      </c>
    </row>
    <row r="36">
      <c r="A36" s="6" t="n">
        <v>11.5</v>
      </c>
      <c r="B36" s="7" t="n"/>
      <c r="C36" s="7" t="n"/>
      <c r="D36" s="8">
        <f>IF(C36="","",C36/$B$4*1000)</f>
        <v/>
      </c>
      <c r="E36" s="9" t="n">
        <v>0.0013</v>
      </c>
      <c r="F36" s="7" t="n"/>
      <c r="G36" s="7" t="n"/>
      <c r="H36" s="8">
        <f>IF(G36="","",G36/$B$4*1000)</f>
        <v/>
      </c>
      <c r="I36" s="9" t="n">
        <v>0.4623</v>
      </c>
      <c r="J36" s="7" t="n"/>
      <c r="K36" s="7" t="n"/>
      <c r="L36" s="8">
        <f>IF(K36="","",K36/$B$4*1000)</f>
        <v/>
      </c>
      <c r="M36" s="9" t="n">
        <v>2.0821</v>
      </c>
      <c r="N36" s="7" t="n"/>
      <c r="O36" s="7" t="n"/>
      <c r="P36" s="8">
        <f>IF(O36="","",O36/$B$4*1000)</f>
        <v/>
      </c>
      <c r="Q36" s="9" t="n">
        <v>4.7146</v>
      </c>
    </row>
    <row r="37">
      <c r="A37" s="6" t="n">
        <v>12</v>
      </c>
      <c r="B37" s="7" t="n"/>
      <c r="C37" s="7" t="n"/>
      <c r="D37" s="8">
        <f>IF(C37="","",C37/$B$4*1000)</f>
        <v/>
      </c>
      <c r="E37" s="9" t="n">
        <v>0.0013</v>
      </c>
      <c r="F37" s="7" t="n"/>
      <c r="G37" s="7" t="n"/>
      <c r="H37" s="8">
        <f>IF(G37="","",G37/$B$4*1000)</f>
        <v/>
      </c>
      <c r="I37" s="9" t="n">
        <v>0.4644</v>
      </c>
      <c r="J37" s="7" t="n"/>
      <c r="K37" s="7" t="n"/>
      <c r="L37" s="8">
        <f>IF(K37="","",K37/$B$4*1000)</f>
        <v/>
      </c>
      <c r="M37" s="9" t="n">
        <v>2.0914</v>
      </c>
      <c r="N37" s="7" t="n"/>
      <c r="O37" s="7" t="n"/>
      <c r="P37" s="8">
        <f>IF(O37="","",O37/$B$4*1000)</f>
        <v/>
      </c>
      <c r="Q37" s="9" t="n">
        <v>4.7357</v>
      </c>
    </row>
    <row r="38">
      <c r="A38" s="6" t="n">
        <v>12.5</v>
      </c>
      <c r="B38" s="7" t="n"/>
      <c r="C38" s="7" t="n"/>
      <c r="D38" s="8">
        <f>IF(C38="","",C38/$B$4*1000)</f>
        <v/>
      </c>
      <c r="E38" s="9" t="n">
        <v>0.0013</v>
      </c>
      <c r="F38" s="7" t="n"/>
      <c r="G38" s="7" t="n"/>
      <c r="H38" s="8">
        <f>IF(G38="","",G38/$B$4*1000)</f>
        <v/>
      </c>
      <c r="I38" s="9" t="n">
        <v>0.4665</v>
      </c>
      <c r="J38" s="7" t="n"/>
      <c r="K38" s="7" t="n"/>
      <c r="L38" s="8">
        <f>IF(K38="","",K38/$B$4*1000)</f>
        <v/>
      </c>
      <c r="M38" s="9" t="n">
        <v>2.1007</v>
      </c>
      <c r="N38" s="7" t="n"/>
      <c r="O38" s="7" t="n"/>
      <c r="P38" s="8">
        <f>IF(O38="","",O38/$B$4*1000)</f>
        <v/>
      </c>
      <c r="Q38" s="9" t="n">
        <v>4.7568</v>
      </c>
    </row>
    <row r="39">
      <c r="A39" s="6" t="n">
        <v>13</v>
      </c>
      <c r="B39" s="7" t="n"/>
      <c r="C39" s="7" t="n"/>
      <c r="D39" s="8">
        <f>IF(C39="","",C39/$B$4*1000)</f>
        <v/>
      </c>
      <c r="E39" s="9" t="n">
        <v>0.0013</v>
      </c>
      <c r="F39" s="7" t="n"/>
      <c r="G39" s="7" t="n"/>
      <c r="H39" s="8">
        <f>IF(G39="","",G39/$B$4*1000)</f>
        <v/>
      </c>
      <c r="I39" s="9" t="n">
        <v>0.4685</v>
      </c>
      <c r="J39" s="7" t="n"/>
      <c r="K39" s="7" t="n"/>
      <c r="L39" s="8">
        <f>IF(K39="","",K39/$B$4*1000)</f>
        <v/>
      </c>
      <c r="M39" s="9" t="n">
        <v>2.11</v>
      </c>
      <c r="N39" s="7" t="n"/>
      <c r="O39" s="7" t="n"/>
      <c r="P39" s="8">
        <f>IF(O39="","",O39/$B$4*1000)</f>
        <v/>
      </c>
      <c r="Q39" s="9" t="n">
        <v>4.7778</v>
      </c>
    </row>
    <row r="40">
      <c r="A40" s="6" t="n">
        <v>13.5</v>
      </c>
      <c r="B40" s="7" t="n"/>
      <c r="C40" s="7" t="n"/>
      <c r="D40" s="8">
        <f>IF(C40="","",C40/$B$4*1000)</f>
        <v/>
      </c>
      <c r="E40" s="9" t="n">
        <v>0.0013</v>
      </c>
      <c r="F40" s="7" t="n"/>
      <c r="G40" s="7" t="n"/>
      <c r="H40" s="8">
        <f>IF(G40="","",G40/$B$4*1000)</f>
        <v/>
      </c>
      <c r="I40" s="9" t="n">
        <v>0.4706</v>
      </c>
      <c r="J40" s="7" t="n"/>
      <c r="K40" s="7" t="n"/>
      <c r="L40" s="8">
        <f>IF(K40="","",K40/$B$4*1000)</f>
        <v/>
      </c>
      <c r="M40" s="9" t="n">
        <v>2.1194</v>
      </c>
      <c r="N40" s="7" t="n"/>
      <c r="O40" s="7" t="n"/>
      <c r="P40" s="8">
        <f>IF(O40="","",O40/$B$4*1000)</f>
        <v/>
      </c>
      <c r="Q40" s="9" t="n">
        <v>4.7989</v>
      </c>
    </row>
    <row r="41">
      <c r="A41" s="6" t="n">
        <v>14</v>
      </c>
      <c r="B41" s="7" t="n"/>
      <c r="C41" s="7" t="n"/>
      <c r="D41" s="8">
        <f>IF(C41="","",C41/$B$4*1000)</f>
        <v/>
      </c>
      <c r="E41" s="9" t="n">
        <v>0.0013</v>
      </c>
      <c r="F41" s="7" t="n"/>
      <c r="G41" s="7" t="n"/>
      <c r="H41" s="8">
        <f>IF(G41="","",G41/$B$4*1000)</f>
        <v/>
      </c>
      <c r="I41" s="9" t="n">
        <v>0.4727</v>
      </c>
      <c r="J41" s="7" t="n"/>
      <c r="K41" s="7" t="n"/>
      <c r="L41" s="8">
        <f>IF(K41="","",K41/$B$4*1000)</f>
        <v/>
      </c>
      <c r="M41" s="9" t="n">
        <v>2.1287</v>
      </c>
      <c r="N41" s="7" t="n"/>
      <c r="O41" s="7" t="n"/>
      <c r="P41" s="8">
        <f>IF(O41="","",O41/$B$4*1000)</f>
        <v/>
      </c>
      <c r="Q41" s="9" t="n">
        <v>4.82</v>
      </c>
    </row>
    <row r="42">
      <c r="A42" s="6" t="n">
        <v>14.5</v>
      </c>
      <c r="B42" s="7" t="n"/>
      <c r="C42" s="7" t="n"/>
      <c r="D42" s="8">
        <f>IF(C42="","",C42/$B$4*1000)</f>
        <v/>
      </c>
      <c r="E42" s="9" t="n">
        <v>0.0013</v>
      </c>
      <c r="F42" s="7" t="n"/>
      <c r="G42" s="7" t="n"/>
      <c r="H42" s="8">
        <f>IF(G42="","",G42/$B$4*1000)</f>
        <v/>
      </c>
      <c r="I42" s="9" t="n">
        <v>0.4748</v>
      </c>
      <c r="J42" s="7" t="n"/>
      <c r="K42" s="7" t="n"/>
      <c r="L42" s="8">
        <f>IF(K42="","",K42/$B$4*1000)</f>
        <v/>
      </c>
      <c r="M42" s="9" t="n">
        <v>2.138</v>
      </c>
      <c r="N42" s="7" t="n"/>
      <c r="O42" s="7" t="n"/>
      <c r="P42" s="8">
        <f>IF(O42="","",O42/$B$4*1000)</f>
        <v/>
      </c>
      <c r="Q42" s="9" t="n">
        <v>4.8411</v>
      </c>
    </row>
    <row r="43">
      <c r="A43" s="6" t="n">
        <v>15</v>
      </c>
      <c r="B43" s="7" t="n"/>
      <c r="C43" s="7" t="n"/>
      <c r="D43" s="8">
        <f>IF(C43="","",C43/$B$4*1000)</f>
        <v/>
      </c>
      <c r="E43" s="9" t="n">
        <v>0.0013</v>
      </c>
      <c r="F43" s="7" t="n"/>
      <c r="G43" s="7" t="n"/>
      <c r="H43" s="8">
        <f>IF(G43="","",G43/$B$4*1000)</f>
        <v/>
      </c>
      <c r="I43" s="9" t="n">
        <v>0.4768</v>
      </c>
      <c r="J43" s="7" t="n"/>
      <c r="K43" s="7" t="n"/>
      <c r="L43" s="8">
        <f>IF(K43="","",K43/$B$4*1000)</f>
        <v/>
      </c>
      <c r="M43" s="9" t="n">
        <v>2.1473</v>
      </c>
      <c r="N43" s="7" t="n"/>
      <c r="O43" s="7" t="n"/>
      <c r="P43" s="8">
        <f>IF(O43="","",O43/$B$4*1000)</f>
        <v/>
      </c>
      <c r="Q43" s="9" t="n">
        <v>4.8621</v>
      </c>
    </row>
    <row r="45">
      <c r="A45" s="2" t="inlineStr">
        <is>
          <t>V_RC 是集極電阻兩端的壓降（量 V_CC 對集極），I_C 由它換算；V_CE 是集極對射極（本電路射極接地，等於集極對地）。兩欄都量，結報才有互相驗證的資料。</t>
        </is>
      </c>
    </row>
    <row r="47">
      <c r="A47" s="3" t="inlineStr">
        <is>
          <t>當天拍照檢查表（離開實驗室前逐項打勾）</t>
        </is>
      </c>
    </row>
    <row r="48">
      <c r="A48" s="15" t="inlineStr">
        <is>
          <t>要留的證據</t>
        </is>
      </c>
      <c r="B48" s="15" t="inlineStr">
        <is>
          <t>打勾</t>
        </is>
      </c>
      <c r="C48" s="15" t="inlineStr">
        <is>
          <t>備註</t>
        </is>
      </c>
    </row>
    <row r="49">
      <c r="A49" s="16" t="inlineStr">
        <is>
          <t>麵包板全景照 1 張</t>
        </is>
      </c>
      <c r="B49" s="12" t="n"/>
      <c r="C49" s="17" t="inlineStr">
        <is>
          <t>看得出 R1／R2／RC 各插在第幾欄、電晶體三腳的 E／B／C 方向</t>
        </is>
      </c>
    </row>
    <row r="50">
      <c r="A50" s="16" t="inlineStr">
        <is>
          <t>電表接線特寫 1 張</t>
        </is>
      </c>
      <c r="B50" s="12" t="n"/>
      <c r="C50" s="17" t="inlineStr">
        <is>
          <t>左表跨 B-E、中表跨 C-E、右表串在 VCC 與 RC 之間</t>
        </is>
      </c>
    </row>
    <row r="51">
      <c r="A51" s="16" t="inlineStr">
        <is>
          <t>兩台電源面板各 1 張</t>
        </is>
      </c>
      <c r="B51" s="12" t="n"/>
      <c r="C51" s="17" t="inlineStr">
        <is>
          <t>V_BB 與 V_CC 的設定值要和記錄表對得上</t>
        </is>
      </c>
    </row>
    <row r="52">
      <c r="A52" s="16" t="inlineStr">
        <is>
          <t>四組 V_BB 的 V_BE 都記到</t>
        </is>
      </c>
      <c r="B52" s="12" t="n"/>
      <c r="C52" s="17" t="inlineStr">
        <is>
          <t>導通後 V_BE 幾乎不動，沒記到就無法回答「ON/OFF 怎麼判定」</t>
        </is>
      </c>
    </row>
    <row r="53">
      <c r="A53" s="16" t="inlineStr">
        <is>
          <t>特性曲線當場畫一次</t>
        </is>
      </c>
      <c r="B53" s="12" t="n"/>
      <c r="C53" s="17" t="inlineStr">
        <is>
          <t>四條線要看得出平坦的主動區；不平坦代表還沒離開飽和區</t>
        </is>
      </c>
    </row>
  </sheetData>
  <mergeCells count="6">
    <mergeCell ref="F11:I11"/>
    <mergeCell ref="J11:M11"/>
    <mergeCell ref="A2:Q2"/>
    <mergeCell ref="N11:Q11"/>
    <mergeCell ref="B11:E11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30" customWidth="1" min="4" max="4"/>
    <col width="16" customWidth="1" min="5" max="5"/>
    <col width="12" customWidth="1" min="6" max="6"/>
    <col width="34" customWidth="1" min="7" max="7"/>
  </cols>
  <sheetData>
    <row r="1">
      <c r="A1" s="1" t="inlineStr">
        <is>
          <t>實驗二：電流增益 β 的量測（Table 2）</t>
        </is>
      </c>
    </row>
    <row r="2">
      <c r="A2" s="2" t="inlineStr">
        <is>
          <t>講義第 9–10 頁：V_BB = V_CC = 15 V，量 R1／R2 壓降求 I_B（KCL），量 R_C 壓降求 I_C</t>
        </is>
      </c>
    </row>
    <row r="4">
      <c r="A4" s="3" t="inlineStr">
        <is>
          <t>電阻值 (Ω)</t>
        </is>
      </c>
      <c r="B4" s="16" t="inlineStr">
        <is>
          <t>R1</t>
        </is>
      </c>
      <c r="C4" s="11" t="n">
        <v>10000</v>
      </c>
      <c r="D4" s="16" t="inlineStr">
        <is>
          <t>R2</t>
        </is>
      </c>
      <c r="E4" s="11" t="n">
        <v>4700</v>
      </c>
      <c r="F4" s="16" t="inlineStr">
        <is>
          <t>R_C</t>
        </is>
      </c>
      <c r="G4" s="11" t="n">
        <v>1000</v>
      </c>
    </row>
    <row r="6" ht="30" customHeight="1">
      <c r="A6" s="5" t="inlineStr">
        <is>
          <t>量測項目</t>
        </is>
      </c>
      <c r="B6" s="5" t="inlineStr">
        <is>
          <t>實測</t>
        </is>
      </c>
      <c r="C6" s="5" t="inlineStr">
        <is>
          <t>單位</t>
        </is>
      </c>
      <c r="D6" s="5" t="inlineStr">
        <is>
          <t>算式</t>
        </is>
      </c>
      <c r="E6" s="5" t="inlineStr">
        <is>
          <t>LTspice 預報</t>
        </is>
      </c>
      <c r="F6" s="5" t="inlineStr">
        <is>
          <t>差異 (%)</t>
        </is>
      </c>
      <c r="G6" s="5" t="inlineStr">
        <is>
          <t>備註</t>
        </is>
      </c>
    </row>
    <row r="7">
      <c r="A7" s="16" t="inlineStr">
        <is>
          <t>R1 兩端壓降 V_R1</t>
        </is>
      </c>
      <c r="B7" s="7" t="n"/>
      <c r="C7" s="16" t="inlineStr">
        <is>
          <t>V</t>
        </is>
      </c>
      <c r="D7" s="17" t="inlineStr"/>
      <c r="E7" s="9" t="n">
        <v>14.251</v>
      </c>
      <c r="F7" s="10">
        <f>IF(OR(B7="",E7="",E7=0),"",(B7-E7)/E7)</f>
        <v/>
      </c>
      <c r="G7" s="17" t="inlineStr">
        <is>
          <t>量 V_BB 對基極</t>
        </is>
      </c>
    </row>
    <row r="8">
      <c r="A8" s="16" t="inlineStr">
        <is>
          <t>R2 兩端壓降 V_R2</t>
        </is>
      </c>
      <c r="B8" s="7" t="n"/>
      <c r="C8" s="16" t="inlineStr">
        <is>
          <t>V</t>
        </is>
      </c>
      <c r="D8" s="17" t="inlineStr"/>
      <c r="E8" s="9" t="n">
        <v>0.749</v>
      </c>
      <c r="F8" s="10">
        <f>IF(OR(B8="",E8="",E8=0),"",(B8-E8)/E8)</f>
        <v/>
      </c>
      <c r="G8" s="17" t="inlineStr">
        <is>
          <t>等於 V_BE（R2 與 B-E 並聯）</t>
        </is>
      </c>
    </row>
    <row r="9">
      <c r="A9" s="16" t="inlineStr">
        <is>
          <t>R_C 兩端壓降 V_RC</t>
        </is>
      </c>
      <c r="B9" s="7" t="n"/>
      <c r="C9" s="16" t="inlineStr">
        <is>
          <t>V</t>
        </is>
      </c>
      <c r="D9" s="17" t="inlineStr"/>
      <c r="E9" s="9" t="n">
        <v>14.946</v>
      </c>
      <c r="F9" s="10">
        <f>IF(OR(B9="",E9="",E9=0),"",(B9-E9)/E9)</f>
        <v/>
      </c>
      <c r="G9" s="17" t="inlineStr">
        <is>
          <t>量 V_CC 對集極</t>
        </is>
      </c>
    </row>
    <row r="10">
      <c r="A10" s="16" t="inlineStr">
        <is>
          <t>V_CE</t>
        </is>
      </c>
      <c r="B10" s="7" t="n"/>
      <c r="C10" s="16" t="inlineStr">
        <is>
          <t>V</t>
        </is>
      </c>
      <c r="D10" s="17" t="inlineStr"/>
      <c r="E10" s="9" t="n">
        <v>0.054</v>
      </c>
      <c r="F10" s="10">
        <f>IF(OR(B10="",E10="",E10=0),"",(B10-E10)/E10)</f>
        <v/>
      </c>
      <c r="G10" s="17" t="inlineStr">
        <is>
          <t>集極對射極；深度飽和時只剩幾十 mV</t>
        </is>
      </c>
    </row>
    <row r="11">
      <c r="A11" s="16" t="inlineStr">
        <is>
          <t>I_R1 = V_R1 / R1</t>
        </is>
      </c>
      <c r="B11" s="8">
        <f>IF(B7="","",B7/$C$4*1000)</f>
        <v/>
      </c>
      <c r="C11" s="16" t="inlineStr">
        <is>
          <t>mA</t>
        </is>
      </c>
      <c r="D11" s="17">
        <f>IF(B7="","",B7/$C$4*1000)</f>
        <v/>
      </c>
      <c r="E11" s="9" t="n">
        <v>1.425</v>
      </c>
      <c r="F11" s="10">
        <f>IF(OR(B11="",E11="",E11=0),"",(B11-E11)/E11)</f>
        <v/>
      </c>
      <c r="G11" s="17" t="inlineStr">
        <is>
          <t>流進基極節點的總電流</t>
        </is>
      </c>
    </row>
    <row r="12">
      <c r="A12" s="16" t="inlineStr">
        <is>
          <t>I_R2 = V_R2 / R2</t>
        </is>
      </c>
      <c r="B12" s="8">
        <f>IF(B8="","",B8/$E$4*1000)</f>
        <v/>
      </c>
      <c r="C12" s="16" t="inlineStr">
        <is>
          <t>mA</t>
        </is>
      </c>
      <c r="D12" s="17">
        <f>IF(B8="","",B8/$E$4*1000)</f>
        <v/>
      </c>
      <c r="E12" s="9" t="n">
        <v>0.159</v>
      </c>
      <c r="F12" s="10">
        <f>IF(OR(B12="",E12="",E12=0),"",(B12-E12)/E12)</f>
        <v/>
      </c>
      <c r="G12" s="17" t="inlineStr">
        <is>
          <t>被 R2 分掉、沒進基極的那一份</t>
        </is>
      </c>
    </row>
    <row r="13">
      <c r="A13" s="16" t="inlineStr">
        <is>
          <t>I_B = I_R1 − I_R2</t>
        </is>
      </c>
      <c r="B13" s="8">
        <f>IF(OR(B7="",B8=""),"",B11-B12)</f>
        <v/>
      </c>
      <c r="C13" s="16" t="inlineStr">
        <is>
          <t>mA</t>
        </is>
      </c>
      <c r="D13" s="17">
        <f>IF(OR(B7="",B8=""),"",B11-B12)</f>
        <v/>
      </c>
      <c r="E13" s="9" t="n">
        <v>1.266</v>
      </c>
      <c r="F13" s="10">
        <f>IF(OR(B13="",E13="",E13=0),"",(B13-E13)/E13)</f>
        <v/>
      </c>
      <c r="G13" s="17" t="inlineStr">
        <is>
          <t>KCL：講義第 9 頁第 3 步</t>
        </is>
      </c>
    </row>
    <row r="14">
      <c r="A14" s="16" t="inlineStr">
        <is>
          <t>I_C = V_RC / R_C</t>
        </is>
      </c>
      <c r="B14" s="8">
        <f>IF(B9="","",B9/$G$4*1000)</f>
        <v/>
      </c>
      <c r="C14" s="16" t="inlineStr">
        <is>
          <t>mA</t>
        </is>
      </c>
      <c r="D14" s="17">
        <f>IF(B9="","",B9/$G$4*1000)</f>
        <v/>
      </c>
      <c r="E14" s="9" t="n">
        <v>14.946</v>
      </c>
      <c r="F14" s="10">
        <f>IF(OR(B14="",E14="",E14=0),"",(B14-E14)/E14)</f>
        <v/>
      </c>
      <c r="G14" s="17" t="inlineStr">
        <is>
          <t>不必串電流表就能得到</t>
        </is>
      </c>
    </row>
    <row r="15">
      <c r="A15" s="16" t="inlineStr">
        <is>
          <t>β_calculate = I_C / I_B</t>
        </is>
      </c>
      <c r="B15" s="8">
        <f>IF(OR(B13="",B13=0,B14=""),"",B14/B13)</f>
        <v/>
      </c>
      <c r="C15" s="16" t="inlineStr">
        <is>
          <t>—</t>
        </is>
      </c>
      <c r="D15" s="17">
        <f>IF(OR(B13="",B13=0,B14=""),"",B14/B13)</f>
        <v/>
      </c>
      <c r="E15" s="9" t="n">
        <v>11.81</v>
      </c>
      <c r="F15" s="10">
        <f>IF(OR(B15="",E15="",E15=0),"",(B15-E15)/E15)</f>
        <v/>
      </c>
      <c r="G15" s="17" t="inlineStr">
        <is>
          <t>這是「強迫 β」，飽和時遠小於真正的 β</t>
        </is>
      </c>
    </row>
    <row r="16">
      <c r="A16" s="16" t="inlineStr">
        <is>
          <t>β_measure（三用電表 hFE 檔）</t>
        </is>
      </c>
      <c r="B16" s="7" t="n"/>
      <c r="C16" s="16" t="inlineStr">
        <is>
          <t>—</t>
        </is>
      </c>
      <c r="D16" s="17" t="inlineStr"/>
      <c r="E16" s="9" t="n"/>
      <c r="F16" s="10">
        <f>IF(OR(B16="",E16="",E16=0),"",(B16-E16)/E16)</f>
        <v/>
      </c>
      <c r="G16" s="17" t="inlineStr">
        <is>
          <t>把電晶體拔下來插 hFE 座；這才是主動區的 β</t>
        </is>
      </c>
    </row>
    <row r="18">
      <c r="A18" s="2" t="inlineStr">
        <is>
          <t>β_calculate 與 β_measure 差很多是正常的，原因就是講義問題 1 的答案：這個偏壓把電晶體推進飽和區，I_C 被 R_C 限制住，不再等於 β × I_B。</t>
        </is>
      </c>
    </row>
    <row r="20">
      <c r="A20" s="3" t="inlineStr">
        <is>
          <t>當天拍照檢查表（離開實驗室前逐項打勾）</t>
        </is>
      </c>
    </row>
    <row r="21">
      <c r="A21" s="15" t="inlineStr">
        <is>
          <t>要留的證據</t>
        </is>
      </c>
      <c r="B21" s="15" t="inlineStr">
        <is>
          <t>打勾</t>
        </is>
      </c>
      <c r="C21" s="15" t="inlineStr">
        <is>
          <t>備註</t>
        </is>
      </c>
    </row>
    <row r="22">
      <c r="A22" s="16" t="inlineStr">
        <is>
          <t>Table 2 五個量都填完</t>
        </is>
      </c>
      <c r="B22" s="12" t="n"/>
      <c r="C22" s="17" t="inlineStr">
        <is>
          <t>V_R1、V_R2、V_RC、V_CE、β_measure</t>
        </is>
      </c>
    </row>
    <row r="23">
      <c r="A23" s="16" t="inlineStr">
        <is>
          <t>電晶體 hFE 讀值照片 1 張</t>
        </is>
      </c>
      <c r="B23" s="12" t="n"/>
      <c r="C23" s="17" t="inlineStr">
        <is>
          <t>拔下來插 hFE 座量到的 β，結報要對照</t>
        </is>
      </c>
    </row>
    <row r="24">
      <c r="A24" s="16" t="inlineStr">
        <is>
          <t>飽和的證據 1 張</t>
        </is>
      </c>
      <c r="B24" s="12" t="n"/>
      <c r="C24" s="17" t="inlineStr">
        <is>
          <t>V_CE 只剩幾十 mV 的電表畫面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6" customWidth="1" min="3" max="3"/>
    <col width="20" customWidth="1" min="4" max="4"/>
    <col width="16" customWidth="1" min="5" max="5"/>
    <col width="10" customWidth="1" min="6" max="6"/>
    <col width="10" customWidth="1" min="7" max="7"/>
  </cols>
  <sheetData>
    <row r="1">
      <c r="A1" s="1" t="inlineStr">
        <is>
          <t>第二部分：共射放大器的電壓增益（Common Emitter Amplifier）</t>
        </is>
      </c>
    </row>
    <row r="2">
      <c r="A2" s="2" t="inlineStr">
        <is>
          <t>講義第 16–22 頁：V_CC 12 V、輸入 10 kHz／100 mVpp，量直流工作點與四種組合的增益</t>
        </is>
      </c>
    </row>
    <row r="4">
      <c r="A4" s="3" t="inlineStr">
        <is>
          <t>一、直流工作點（訊號源先關掉，用三用電表量）</t>
        </is>
      </c>
    </row>
    <row r="5" ht="30" customHeight="1">
      <c r="A5" s="5" t="inlineStr">
        <is>
          <t>節點</t>
        </is>
      </c>
      <c r="B5" s="5" t="inlineStr">
        <is>
          <t>實測 (V)</t>
        </is>
      </c>
      <c r="C5" s="5" t="inlineStr">
        <is>
          <t>LTspice R_C1 = 100 Ω</t>
        </is>
      </c>
      <c r="D5" s="5" t="inlineStr">
        <is>
          <t>LTspice R_C1 = 1 kΩ</t>
        </is>
      </c>
      <c r="E5" s="5" t="inlineStr">
        <is>
          <t>差異 (%)</t>
        </is>
      </c>
      <c r="F5" s="5" t="inlineStr">
        <is>
          <t>備註</t>
        </is>
      </c>
      <c r="G5" s="5" t="inlineStr"/>
    </row>
    <row r="6">
      <c r="A6" s="16" t="inlineStr">
        <is>
          <t>V_B（基極對地）</t>
        </is>
      </c>
      <c r="B6" s="7" t="n"/>
      <c r="C6" s="9" t="n">
        <v>5.876</v>
      </c>
      <c r="D6" s="9" t="n">
        <v>5.87</v>
      </c>
      <c r="E6" s="10">
        <f>IF(OR(B6="",C6=0),"",(B6-C6)/C6)</f>
        <v/>
      </c>
      <c r="F6" s="17" t="inlineStr">
        <is>
          <t>分壓器給的 6 V 附近</t>
        </is>
      </c>
    </row>
    <row r="7">
      <c r="A7" s="16" t="inlineStr">
        <is>
          <t>V_E（射極對地）</t>
        </is>
      </c>
      <c r="B7" s="7" t="n"/>
      <c r="C7" s="9" t="n">
        <v>5.178</v>
      </c>
      <c r="D7" s="9" t="n">
        <v>5.171</v>
      </c>
      <c r="E7" s="10">
        <f>IF(OR(B7="",C7=0),"",(B7-C7)/C7)</f>
        <v/>
      </c>
      <c r="F7" s="17" t="inlineStr">
        <is>
          <t>約 V_B − 0.7</t>
        </is>
      </c>
    </row>
    <row r="8">
      <c r="A8" s="16" t="inlineStr">
        <is>
          <t>V_C（集極對地）</t>
        </is>
      </c>
      <c r="B8" s="7" t="n"/>
      <c r="C8" s="9" t="n">
        <v>11.485</v>
      </c>
      <c r="D8" s="9" t="n">
        <v>6.854</v>
      </c>
      <c r="E8" s="10">
        <f>IF(OR(B8="",C8=0),"",(B8-C8)/C8)</f>
        <v/>
      </c>
      <c r="F8" s="17" t="inlineStr">
        <is>
          <t>R_C1 越大這裡越低</t>
        </is>
      </c>
    </row>
    <row r="9">
      <c r="A9" s="16" t="inlineStr">
        <is>
          <t>V_CE = V_C − V_E</t>
        </is>
      </c>
      <c r="B9" s="7" t="n"/>
      <c r="C9" s="9" t="n">
        <v>6.306</v>
      </c>
      <c r="D9" s="9" t="n">
        <v>1.683</v>
      </c>
      <c r="E9" s="10">
        <f>IF(OR(B9="",C9=0),"",(B9-C9)/C9)</f>
        <v/>
      </c>
      <c r="F9" s="17" t="inlineStr">
        <is>
          <t>小於 1 V 就代表快飽和，訊號會削波</t>
        </is>
      </c>
    </row>
    <row r="10">
      <c r="A10" s="16" t="inlineStr">
        <is>
          <t>I_C = (V_CC − V_C) / R_C1</t>
        </is>
      </c>
      <c r="B10" s="8">
        <f>IF(B8="","",(12-B8)/100*1000)</f>
        <v/>
      </c>
      <c r="C10" s="9" t="n">
        <v>5.153</v>
      </c>
      <c r="D10" s="9" t="n">
        <v>5.146</v>
      </c>
      <c r="E10" s="16" t="n"/>
      <c r="F10" s="17" t="inlineStr">
        <is>
          <t>單位 mA；式子裡的 100 要跟著實際用的 R_C1 改</t>
        </is>
      </c>
    </row>
    <row r="12">
      <c r="A12" s="3" t="inlineStr">
        <is>
          <t>二、電壓增益（示波器雙通道：CH1 接 V_s、CH2 接 V_out）</t>
        </is>
      </c>
    </row>
    <row r="13" ht="30" customHeight="1">
      <c r="A13" s="5" t="inlineStr">
        <is>
          <t>組合</t>
        </is>
      </c>
      <c r="B13" s="5" t="inlineStr">
        <is>
          <t>實測 V_s (mVpp)</t>
        </is>
      </c>
      <c r="C13" s="5" t="inlineStr">
        <is>
          <t>實測 V_out (mVpp)</t>
        </is>
      </c>
      <c r="D13" s="5" t="inlineStr">
        <is>
          <t>|A_v| = V_out / V_s</t>
        </is>
      </c>
      <c r="E13" s="5" t="inlineStr">
        <is>
          <t>LTspice |A_v|</t>
        </is>
      </c>
      <c r="F13" s="5" t="inlineStr">
        <is>
          <t>差異 (%)</t>
        </is>
      </c>
      <c r="G13" s="5" t="inlineStr">
        <is>
          <t>波形有沒有削平／反相？</t>
        </is>
      </c>
    </row>
    <row r="14">
      <c r="A14" s="16" t="inlineStr">
        <is>
          <t>RC1 100 Ω、有 C3</t>
        </is>
      </c>
      <c r="B14" s="18" t="n"/>
      <c r="C14" s="18" t="n"/>
      <c r="D14" s="19">
        <f>IF(OR(B14="",B14=0,C14=""),"",C14/B14)</f>
        <v/>
      </c>
      <c r="E14" s="20" t="n">
        <v>5.54</v>
      </c>
      <c r="F14" s="10">
        <f>IF(OR(D14="",E14=0),"",(D14-E14)/E14)</f>
        <v/>
      </c>
      <c r="G14" s="12" t="n"/>
    </row>
    <row r="15">
      <c r="A15" s="16" t="inlineStr">
        <is>
          <t>RC1 1 kΩ、有 C3</t>
        </is>
      </c>
      <c r="B15" s="18" t="n"/>
      <c r="C15" s="18" t="n"/>
      <c r="D15" s="19">
        <f>IF(OR(B15="",B15=0,C15=""),"",C15/B15)</f>
        <v/>
      </c>
      <c r="E15" s="20" t="n">
        <v>41.13</v>
      </c>
      <c r="F15" s="10">
        <f>IF(OR(D15="",E15=0),"",(D15-E15)/E15)</f>
        <v/>
      </c>
      <c r="G15" s="12" t="n"/>
    </row>
    <row r="16">
      <c r="A16" s="16" t="inlineStr">
        <is>
          <t>RC1 100 Ω、無 C3</t>
        </is>
      </c>
      <c r="B16" s="18" t="n"/>
      <c r="C16" s="18" t="n"/>
      <c r="D16" s="19">
        <f>IF(OR(B16="",B16=0,C16=""),"",C16/B16)</f>
        <v/>
      </c>
      <c r="E16" s="20" t="n">
        <v>0.1</v>
      </c>
      <c r="F16" s="10">
        <f>IF(OR(D16="",E16=0),"",(D16-E16)/E16)</f>
        <v/>
      </c>
      <c r="G16" s="12" t="n"/>
    </row>
    <row r="17">
      <c r="A17" s="16" t="inlineStr">
        <is>
          <t>RC1 1 kΩ、無 C3</t>
        </is>
      </c>
      <c r="B17" s="18" t="n"/>
      <c r="C17" s="18" t="n"/>
      <c r="D17" s="19">
        <f>IF(OR(B17="",B17=0,C17=""),"",C17/B17)</f>
        <v/>
      </c>
      <c r="E17" s="20" t="n">
        <v>0.88</v>
      </c>
      <c r="F17" s="10">
        <f>IF(OR(D17="",E17=0),"",(D17-E17)/E17)</f>
        <v/>
      </c>
      <c r="G17" s="12" t="n"/>
    </row>
    <row r="18">
      <c r="A18" s="2" t="inlineStr">
        <is>
          <t>四種組合都量，講義問題 1（拿掉 C3）與問題 3（R_C1 換 1 kΩ）的答案就直接讀得出來。R_C1 = 1 kΩ 那兩列特別注意輸出有沒有一邊被削平。</t>
        </is>
      </c>
    </row>
    <row r="20">
      <c r="A20" s="3" t="inlineStr">
        <is>
          <t>三、Bonus：把增益設計成 A_v = 20（LTspice 驗證 20.1）</t>
        </is>
      </c>
    </row>
    <row r="21" ht="30" customHeight="1">
      <c r="A21" s="5" t="inlineStr">
        <is>
          <t>元件</t>
        </is>
      </c>
      <c r="B21" s="5" t="inlineStr">
        <is>
          <t>定案值</t>
        </is>
      </c>
      <c r="C21" s="5" t="inlineStr">
        <is>
          <t>為什麼</t>
        </is>
      </c>
      <c r="D21" s="5" t="inlineStr">
        <is>
          <t>實測 (V 或 mVpp)</t>
        </is>
      </c>
      <c r="E21" s="5" t="inlineStr">
        <is>
          <t>LTspice</t>
        </is>
      </c>
      <c r="F21" s="5" t="inlineStr"/>
      <c r="G21" s="5" t="inlineStr"/>
    </row>
    <row r="22">
      <c r="A22" s="16" t="inlineStr">
        <is>
          <t>R_C1</t>
        </is>
      </c>
      <c r="B22" s="21" t="inlineStr">
        <is>
          <t>620 Ω</t>
        </is>
      </c>
      <c r="C22" s="17" t="inlineStr">
        <is>
          <t>增益正比於集極端總電阻；620 Ω 剛好把 |A_v| 拉到 20</t>
        </is>
      </c>
      <c r="D22" s="12" t="n"/>
      <c r="E22" s="21" t="n"/>
    </row>
    <row r="23">
      <c r="A23" s="16" t="inlineStr">
        <is>
          <t>R_E1a（不旁路）</t>
        </is>
      </c>
      <c r="B23" s="21" t="inlineStr">
        <is>
          <t>22 Ω</t>
        </is>
      </c>
      <c r="C23" s="17" t="inlineStr">
        <is>
          <t>留一小段不被旁路，增益改由電阻比決定，對 β 與溫度不敏感</t>
        </is>
      </c>
      <c r="D23" s="12" t="n"/>
      <c r="E23" s="21" t="n"/>
    </row>
    <row r="24">
      <c r="A24" s="16" t="inlineStr">
        <is>
          <t>R_E1b（被旁路）</t>
        </is>
      </c>
      <c r="B24" s="21" t="inlineStr">
        <is>
          <t>1 kΩ</t>
        </is>
      </c>
      <c r="C24" s="17" t="inlineStr">
        <is>
          <t>直流偏壓照舊由它決定，工作點不動</t>
        </is>
      </c>
      <c r="D24" s="12" t="n"/>
      <c r="E24" s="21" t="n"/>
    </row>
    <row r="25">
      <c r="A25" s="16" t="inlineStr">
        <is>
          <t>C3</t>
        </is>
      </c>
      <c r="B25" s="21" t="inlineStr">
        <is>
          <t>100 µF</t>
        </is>
      </c>
      <c r="C25" s="17" t="inlineStr">
        <is>
          <t>10 kHz 時容抗 0.16 Ω，遠小於 R_E1a，才算真的旁路掉</t>
        </is>
      </c>
      <c r="D25" s="12" t="n"/>
      <c r="E25" s="21" t="n"/>
    </row>
    <row r="26">
      <c r="A26" s="16" t="inlineStr">
        <is>
          <t>C1、C2</t>
        </is>
      </c>
      <c r="B26" s="21" t="inlineStr">
        <is>
          <t>1 µF</t>
        </is>
      </c>
      <c r="C26" s="17" t="inlineStr">
        <is>
          <t>耦合電容維持講義原值即可，截止頻率遠低於 10 kHz</t>
        </is>
      </c>
      <c r="D26" s="12" t="n"/>
      <c r="E26" s="21" t="n"/>
    </row>
    <row r="27">
      <c r="A27" s="16" t="inlineStr">
        <is>
          <t>V_B / V_E / V_C</t>
        </is>
      </c>
      <c r="B27" s="21" t="inlineStr">
        <is>
          <t>—</t>
        </is>
      </c>
      <c r="C27" s="17" t="inlineStr">
        <is>
          <t>工作點</t>
        </is>
      </c>
      <c r="D27" s="12" t="n"/>
      <c r="E27" s="21" t="inlineStr">
        <is>
          <t>5.88 / 5.18 / 8.87 V</t>
        </is>
      </c>
    </row>
    <row r="28">
      <c r="A28" s="16" t="inlineStr">
        <is>
          <t>實測 |A_v|</t>
        </is>
      </c>
      <c r="B28" s="21" t="inlineStr">
        <is>
          <t>—</t>
        </is>
      </c>
      <c r="C28" s="17" t="inlineStr">
        <is>
          <t>目標 20，±10% 以內都算達標</t>
        </is>
      </c>
      <c r="D28" s="12" t="n"/>
      <c r="E28" s="21" t="n">
        <v>20.13</v>
      </c>
    </row>
    <row r="29">
      <c r="A29" s="2" t="inlineStr">
        <is>
          <t>只把 C3 加大是不夠的：R_C1 = 100 Ω 時無論 C3 多大，|A_v| 最多只到 16.6。詳見筆記「Bonus：把增益設計成 20」一節。</t>
        </is>
      </c>
    </row>
    <row r="31">
      <c r="A31" s="3" t="inlineStr">
        <is>
          <t>當天拍照檢查表（離開實驗室前逐項打勾）</t>
        </is>
      </c>
    </row>
    <row r="32">
      <c r="A32" s="15" t="inlineStr">
        <is>
          <t>要留的證據</t>
        </is>
      </c>
      <c r="B32" s="15" t="inlineStr">
        <is>
          <t>打勾</t>
        </is>
      </c>
      <c r="C32" s="15" t="inlineStr">
        <is>
          <t>備註</t>
        </is>
      </c>
    </row>
    <row r="33">
      <c r="A33" s="16" t="inlineStr">
        <is>
          <t>示波器雙軌畫面 4 張</t>
        </is>
      </c>
      <c r="B33" s="12" t="n"/>
      <c r="C33" s="17" t="inlineStr">
        <is>
          <t>四種組合各一張，CH1／CH2 同時入鏡才看得出反相</t>
        </is>
      </c>
    </row>
    <row r="34">
      <c r="A34" s="16" t="inlineStr">
        <is>
          <t>削波的那張要放大</t>
        </is>
      </c>
      <c r="B34" s="12" t="n"/>
      <c r="C34" s="17" t="inlineStr">
        <is>
          <t>R_C1 = 1 kΩ 的輸出，削平的一邊要看得清楚</t>
        </is>
      </c>
    </row>
    <row r="35">
      <c r="A35" s="16" t="inlineStr">
        <is>
          <t>直流工作點電表照片 1 張</t>
        </is>
      </c>
      <c r="B35" s="12" t="n"/>
      <c r="C35" s="17" t="inlineStr">
        <is>
          <t>V_B、V_E、V_C 三個讀值</t>
        </is>
      </c>
    </row>
    <row r="36">
      <c r="A36" s="16" t="inlineStr">
        <is>
          <t>Bonus 電路的接線照與波形各 1 張</t>
        </is>
      </c>
      <c r="B36" s="12" t="n"/>
      <c r="C36" s="17" t="inlineStr">
        <is>
          <t>元件值改了要拍，結報要對照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2026-10-18T09:08:58Z</dcterms:created>
  <dcterms:modified xmlns:dcterms="http://purl.org/dc/terms/" xmlns:xsi="http://www.w3.org/2001/XMLSchema-instance" xsi:type="dcterms:W3CDTF">2026-10-18T09:08:58Z</dcterms:modified>
</cp:coreProperties>
</file>